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ud365.sharepoint.com/sites/edu-DSE-2025-2026-Q4/Gedeelde documenten/Students/Baseline-Report/"/>
    </mc:Choice>
  </mc:AlternateContent>
  <xr:revisionPtr revIDLastSave="561" documentId="13_ncr:1_{10BB31FA-995A-3B40-847D-9F2FEA756049}" xr6:coauthVersionLast="47" xr6:coauthVersionMax="47" xr10:uidLastSave="{28220067-34C0-4209-BF1B-642A927776F9}"/>
  <bookViews>
    <workbookView xWindow="-108" yWindow="-108" windowWidth="30936" windowHeight="19416" firstSheet="2" xr2:uid="{4AC8FE22-709C-E143-A062-88294100A2E8}"/>
  </bookViews>
  <sheets>
    <sheet name="TAM SAM SOM" sheetId="92" r:id="rId1"/>
    <sheet name="Overview" sheetId="1" r:id="rId2"/>
    <sheet name="P&amp;L Target Year" sheetId="2" r:id="rId3"/>
    <sheet name="BU_251118225118_1" sheetId="38" state="veryHidden" r:id="rId4"/>
    <sheet name="BU_251118225119_1" sheetId="39" state="veryHidden" r:id="rId5"/>
    <sheet name="BU_251118225120_1" sheetId="40" state="veryHidden" r:id="rId6"/>
    <sheet name="BU_251118225135_1" sheetId="42" state="veryHidden" r:id="rId7"/>
    <sheet name="BU_251118225136_1" sheetId="43" state="veryHidden" r:id="rId8"/>
    <sheet name="UndoMemory" sheetId="91" state="veryHidden" r:id="rId9"/>
  </sheets>
  <definedNames>
    <definedName name="BU_Counter">2</definedName>
    <definedName name="LastAddedCol">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2" l="1"/>
  <c r="C13" i="2"/>
  <c r="K64" i="92"/>
  <c r="I26" i="92"/>
  <c r="I24" i="92"/>
  <c r="J22" i="92"/>
  <c r="M123" i="92"/>
  <c r="M121" i="92"/>
  <c r="M75" i="92"/>
  <c r="M76" i="92"/>
  <c r="M77" i="92"/>
  <c r="M78" i="92"/>
  <c r="M79" i="92"/>
  <c r="M80" i="92"/>
  <c r="M81" i="92"/>
  <c r="M82" i="92"/>
  <c r="M83" i="92"/>
  <c r="M84" i="92"/>
  <c r="M85" i="92"/>
  <c r="M86" i="92"/>
  <c r="M87" i="92"/>
  <c r="M88" i="92"/>
  <c r="M89" i="92"/>
  <c r="M90" i="92"/>
  <c r="M91" i="92"/>
  <c r="M92" i="92"/>
  <c r="M93" i="92"/>
  <c r="M94" i="92"/>
  <c r="M95" i="92"/>
  <c r="M96" i="92"/>
  <c r="M97" i="92"/>
  <c r="M98" i="92"/>
  <c r="M99" i="92"/>
  <c r="M100" i="92"/>
  <c r="M101" i="92"/>
  <c r="M102" i="92"/>
  <c r="M103" i="92"/>
  <c r="M104" i="92"/>
  <c r="M105" i="92"/>
  <c r="M106" i="92"/>
  <c r="M107" i="92"/>
  <c r="M108" i="92"/>
  <c r="M109" i="92"/>
  <c r="M110" i="92"/>
  <c r="M111" i="92"/>
  <c r="M112" i="92"/>
  <c r="M113" i="92"/>
  <c r="M114" i="92"/>
  <c r="M115" i="92"/>
  <c r="M74" i="92"/>
  <c r="M117" i="92" s="1"/>
  <c r="M118" i="92" s="1"/>
  <c r="M119" i="92" s="1"/>
  <c r="J36" i="92"/>
  <c r="J37" i="92"/>
  <c r="J38" i="92"/>
  <c r="J41" i="92"/>
  <c r="J42" i="92"/>
  <c r="J43" i="92"/>
  <c r="J44" i="92"/>
  <c r="J48" i="92"/>
  <c r="J49" i="92"/>
  <c r="J50" i="92"/>
  <c r="J51" i="92"/>
  <c r="J52" i="92"/>
  <c r="J53" i="92"/>
  <c r="J54" i="92"/>
  <c r="J55" i="92"/>
  <c r="J56" i="92"/>
  <c r="J57" i="92"/>
  <c r="J58" i="92"/>
  <c r="J59" i="92"/>
  <c r="J61" i="92"/>
  <c r="J62" i="92"/>
  <c r="J35" i="92"/>
  <c r="J64" i="92" s="1"/>
  <c r="J65" i="92" s="1"/>
  <c r="I15" i="92"/>
  <c r="C12" i="2"/>
  <c r="F25" i="43"/>
  <c r="E25" i="43"/>
  <c r="D25" i="43"/>
  <c r="C25" i="43"/>
  <c r="C27" i="43" s="1"/>
  <c r="D27" i="43" s="1"/>
  <c r="J18" i="43"/>
  <c r="H18" i="43"/>
  <c r="G18" i="43"/>
  <c r="F18" i="43"/>
  <c r="E18" i="43"/>
  <c r="D18" i="43"/>
  <c r="C18" i="43"/>
  <c r="J13" i="43"/>
  <c r="H13" i="43"/>
  <c r="G13" i="43"/>
  <c r="F13" i="43"/>
  <c r="E13" i="43"/>
  <c r="D13" i="43"/>
  <c r="C13" i="43"/>
  <c r="J11" i="43"/>
  <c r="H8" i="43"/>
  <c r="H25" i="43" s="1"/>
  <c r="G8" i="43"/>
  <c r="G25" i="43" s="1"/>
  <c r="F8" i="43"/>
  <c r="E8" i="43"/>
  <c r="D8" i="43"/>
  <c r="C8" i="43"/>
  <c r="J5" i="43"/>
  <c r="I18" i="42"/>
  <c r="G18" i="42"/>
  <c r="F18" i="42"/>
  <c r="E18" i="42"/>
  <c r="D18" i="42"/>
  <c r="C18" i="42"/>
  <c r="I13" i="42"/>
  <c r="G13" i="42"/>
  <c r="F13" i="42"/>
  <c r="E13" i="42"/>
  <c r="D13" i="42"/>
  <c r="C13" i="42"/>
  <c r="I11" i="42"/>
  <c r="G8" i="42"/>
  <c r="G25" i="42" s="1"/>
  <c r="F8" i="42"/>
  <c r="F25" i="42" s="1"/>
  <c r="E8" i="42"/>
  <c r="E25" i="42" s="1"/>
  <c r="D8" i="42"/>
  <c r="D25" i="42" s="1"/>
  <c r="C8" i="42"/>
  <c r="C25" i="42" s="1"/>
  <c r="C27" i="42" s="1"/>
  <c r="D27" i="42" s="1"/>
  <c r="I5" i="42"/>
  <c r="H18" i="40"/>
  <c r="F18" i="40"/>
  <c r="E18" i="40"/>
  <c r="D18" i="40"/>
  <c r="C18" i="40"/>
  <c r="H13" i="40"/>
  <c r="F13" i="40"/>
  <c r="E13" i="40"/>
  <c r="D13" i="40"/>
  <c r="C13" i="40"/>
  <c r="H11" i="40"/>
  <c r="F8" i="40"/>
  <c r="F25" i="40" s="1"/>
  <c r="E8" i="40"/>
  <c r="E25" i="40" s="1"/>
  <c r="D8" i="40"/>
  <c r="D25" i="40" s="1"/>
  <c r="C8" i="40"/>
  <c r="C25" i="40" s="1"/>
  <c r="C27" i="40" s="1"/>
  <c r="D27" i="40" s="1"/>
  <c r="H5" i="40"/>
  <c r="G18" i="39"/>
  <c r="E18" i="39"/>
  <c r="D18" i="39"/>
  <c r="C18" i="39"/>
  <c r="G13" i="39"/>
  <c r="E13" i="39"/>
  <c r="E25" i="39" s="1"/>
  <c r="D13" i="39"/>
  <c r="D25" i="39" s="1"/>
  <c r="C13" i="39"/>
  <c r="G11" i="39"/>
  <c r="E8" i="39"/>
  <c r="D8" i="39"/>
  <c r="C8" i="39"/>
  <c r="C25" i="39" s="1"/>
  <c r="C27" i="39" s="1"/>
  <c r="D27" i="39" s="1"/>
  <c r="E27" i="39" s="1"/>
  <c r="G5" i="39"/>
  <c r="D25" i="38"/>
  <c r="F18" i="38"/>
  <c r="D18" i="38"/>
  <c r="C18" i="38"/>
  <c r="F13" i="38"/>
  <c r="D13" i="38"/>
  <c r="C13" i="38"/>
  <c r="F11" i="38"/>
  <c r="D8" i="38"/>
  <c r="C8" i="38"/>
  <c r="C25" i="38" s="1"/>
  <c r="C27" i="38" s="1"/>
  <c r="D27" i="38" s="1"/>
  <c r="F5" i="38"/>
  <c r="M124" i="92" l="1"/>
  <c r="G127" i="92" s="1"/>
  <c r="G128" i="92" s="1"/>
  <c r="J21" i="92" s="1"/>
  <c r="H27" i="43"/>
  <c r="G27" i="43"/>
  <c r="F27" i="43"/>
  <c r="E27" i="43"/>
  <c r="G27" i="42"/>
  <c r="F27" i="42"/>
  <c r="E27" i="42"/>
  <c r="F27" i="40"/>
  <c r="E27" i="40"/>
  <c r="C20" i="2" l="1"/>
  <c r="C18" i="2" l="1"/>
  <c r="C27" i="2" s="1"/>
  <c r="C6" i="2"/>
  <c r="C29" i="2" l="1"/>
  <c r="C33" i="2" s="1"/>
  <c r="D18" i="2"/>
  <c r="J10" i="43" l="1"/>
  <c r="J8" i="43" s="1"/>
  <c r="J25" i="43" s="1"/>
  <c r="I10" i="42"/>
  <c r="I8" i="42" s="1"/>
  <c r="I25" i="42" s="1"/>
  <c r="G10" i="39"/>
  <c r="G8" i="39" s="1"/>
  <c r="G25" i="39" s="1"/>
  <c r="F10" i="38"/>
  <c r="F8" i="38" s="1"/>
  <c r="F25" i="38" s="1"/>
  <c r="H10" i="40"/>
  <c r="H8" i="40" s="1"/>
  <c r="H25"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12" authorId="0" shapeId="0" xr:uid="{7B900512-4BBA-AE4E-BB59-ACD596412BF8}">
      <text>
        <r>
          <rPr>
            <b/>
            <sz val="10"/>
            <color rgb="FF000000"/>
            <rFont val="Tahoma"/>
            <family val="2"/>
          </rPr>
          <t>Microsoft Office User:</t>
        </r>
        <r>
          <rPr>
            <sz val="10"/>
            <color rgb="FF000000"/>
            <rFont val="Tahoma"/>
            <family val="2"/>
          </rPr>
          <t xml:space="preserve">
</t>
        </r>
        <r>
          <rPr>
            <sz val="10"/>
            <color rgb="FF000000"/>
            <rFont val="Tahoma"/>
            <family val="2"/>
          </rPr>
          <t xml:space="preserve">1) If this revenue template (PxQ) does not fit your business model, then write in the expected revenue for the year and explain the reasoning in the notes. 
</t>
        </r>
        <r>
          <rPr>
            <sz val="10"/>
            <color rgb="FF000000"/>
            <rFont val="Tahoma"/>
            <family val="2"/>
          </rPr>
          <t xml:space="preserve">
</t>
        </r>
        <r>
          <rPr>
            <sz val="10"/>
            <color rgb="FF000000"/>
            <rFont val="Tahoma"/>
            <family val="2"/>
          </rPr>
          <t xml:space="preserve">2) If you have two sources of revenue (e.g. product + maintenance) , list them separately, and list the COGS, Gross Profits (Margins) separately. Then have one line for Total Gross Profit.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16238856-AF6F-934F-9A5B-2112EEB5942A}">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ED5D7CD4-60DE-F04A-BE14-5B6A1559B723}">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E5C36F6-89FE-0D48-8522-3F56DB56D53C}">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2A6F1A14-DEDD-FE45-B163-58D0543C01C6}">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38D5BB7B-1207-C04D-AD15-0D6D8AFBF2B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CB3F6F6A-7898-D141-A04E-56DD5EEB1F0B}">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C4B44E4-547C-4840-A039-D583225D445B}">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A508BC65-AC3A-1D42-B379-B7C20735828A}">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74A56E24-0A8E-FE44-A5B0-2C8EE2AC4D8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4CBEAC57-51DC-724E-AF33-3EC5EE7A151E}">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sharedStrings.xml><?xml version="1.0" encoding="utf-8"?>
<sst xmlns="http://schemas.openxmlformats.org/spreadsheetml/2006/main" count="557" uniqueCount="255">
  <si>
    <t>Data</t>
  </si>
  <si>
    <t>Source</t>
  </si>
  <si>
    <t>Market price of the product (class)</t>
  </si>
  <si>
    <t>TAM</t>
  </si>
  <si>
    <t>Aeronautical testing market
USD 6.94 B in 2026
CAGR 7.28% from 2026 -&gt; 2035</t>
  </si>
  <si>
    <t>https://www.businessresearchinsights.com/market-reports/aeronautical-tester-market-105709</t>
  </si>
  <si>
    <t>Market volume for the product (class)</t>
  </si>
  <si>
    <t>SAM</t>
  </si>
  <si>
    <t>Achievable market share for the product</t>
  </si>
  <si>
    <t>SOM</t>
  </si>
  <si>
    <t>European Aerospace wind tunnel testing market</t>
  </si>
  <si>
    <t>1 billion</t>
  </si>
  <si>
    <t>https://www.prophecymarketinsights.com/market_insight/europe-wind-tunnel-market-5840</t>
  </si>
  <si>
    <t>Breakdown:</t>
  </si>
  <si>
    <t>Cost:</t>
  </si>
  <si>
    <t>Development cost of the product</t>
  </si>
  <si>
    <t>SAM Breakdown</t>
  </si>
  <si>
    <t>Labour</t>
  </si>
  <si>
    <t>Sector</t>
  </si>
  <si>
    <t>Value [B]</t>
  </si>
  <si>
    <t>Certification</t>
  </si>
  <si>
    <t>Total Aviation Sector in the netherlands</t>
  </si>
  <si>
    <t>https://www.iata.org/en/iata-repository/publications/economic-reports/the-value-of-air-transport-to-the-netherlands/</t>
  </si>
  <si>
    <t>Economic Output of people employed in aviation</t>
  </si>
  <si>
    <t>Aviation related tourism</t>
  </si>
  <si>
    <t>Production cost of the product</t>
  </si>
  <si>
    <t>Airports, ANSPs, civil
manufacturing</t>
  </si>
  <si>
    <t>Recurring</t>
  </si>
  <si>
    <t>Work Area</t>
  </si>
  <si>
    <t>TBD</t>
  </si>
  <si>
    <t>Airlines</t>
  </si>
  <si>
    <t>Non-Recuring</t>
  </si>
  <si>
    <t>Work Tools</t>
  </si>
  <si>
    <t>Total - non RND activities</t>
  </si>
  <si>
    <t>Recuring</t>
  </si>
  <si>
    <t>Materials &amp; Components</t>
  </si>
  <si>
    <t>Bottom Up Approach</t>
  </si>
  <si>
    <t>Company</t>
  </si>
  <si>
    <t>Budget [B]</t>
  </si>
  <si>
    <t>~percentage of budget spent on testing</t>
  </si>
  <si>
    <t>NLR</t>
  </si>
  <si>
    <t>127M € in 2024</t>
  </si>
  <si>
    <t>According to https://www.dlr.de/en/dlr/about-us/dlr-in-numbers/financing DLR spent 422.2M € on aeronautics research, which is approximately 25 % of their yearly budget. Since NLR is more focused on aeronautics research, good estimate would be to estimate 25 % of the yearly NLR budget in  2024 (https://craft.co/nlr) for aeronautics research: 32M €.</t>
  </si>
  <si>
    <t>TU Delft</t>
  </si>
  <si>
    <t>Based on estimates for average operational costs of NASA wind tunnels in $2012 adjusted for inflation, in euro + average operational costs for Cessna 550 given anual extrapolated flight time of the PH-LAB using the last 3 months as a sample</t>
  </si>
  <si>
    <t>Direct operational cost</t>
  </si>
  <si>
    <t>DNW</t>
  </si>
  <si>
    <t>https://www.lusha.com/business/2bd3ebff838fff84/
Based on estimated revenue, and further refined by the ratio of wind tunnel testing locations in the netherlands and germany (proportionally)</t>
  </si>
  <si>
    <t>Fuel</t>
  </si>
  <si>
    <t>Transport</t>
  </si>
  <si>
    <t>Maintenance</t>
  </si>
  <si>
    <t>Storage</t>
  </si>
  <si>
    <t>Insurance</t>
  </si>
  <si>
    <t>Energy Costs</t>
  </si>
  <si>
    <t>direct labour costs</t>
  </si>
  <si>
    <t>NASA Wind Tunnels</t>
  </si>
  <si>
    <t>Total Costs $2012</t>
  </si>
  <si>
    <t>Total Cost $2026</t>
  </si>
  <si>
    <t>Inflation Calculator:
https://www.in2013dollars.com/us/inflation/2012?amount=1</t>
  </si>
  <si>
    <r>
      <rPr>
        <b/>
        <sz val="12"/>
        <color rgb="FF000000"/>
        <rFont val="Calibri"/>
        <scheme val="minor"/>
      </rPr>
      <t xml:space="preserve">SOURCE:
</t>
    </r>
    <r>
      <rPr>
        <sz val="12"/>
        <color rgb="FF000000"/>
        <rFont val="Calibri"/>
        <scheme val="minor"/>
      </rPr>
      <t>https://www.nasa.gov/wp-content/uploads/2023/06/nasa-wind-tunnels-final-report-20150813-tagged.pdf</t>
    </r>
  </si>
  <si>
    <t>Plasma tunnel</t>
  </si>
  <si>
    <t>ARC N206/N206A</t>
  </si>
  <si>
    <t>ARC N215</t>
  </si>
  <si>
    <t>ARC N221/N221B</t>
  </si>
  <si>
    <t>ARC N227A/N227B/N227C</t>
  </si>
  <si>
    <t xml:space="preserve">supersonic </t>
  </si>
  <si>
    <t>GRC 11/170</t>
  </si>
  <si>
    <t>GRC 37</t>
  </si>
  <si>
    <t>GRC 39/53/54/57/61</t>
  </si>
  <si>
    <t>GRC 85/87/88/90/113/114</t>
  </si>
  <si>
    <t>Subsonic, transonic, supersonic</t>
  </si>
  <si>
    <t>LaRC 1212C</t>
  </si>
  <si>
    <t>LaRC 1236</t>
  </si>
  <si>
    <t>LaRC 1242</t>
  </si>
  <si>
    <t xml:space="preserve">LaRC 1247D </t>
  </si>
  <si>
    <t xml:space="preserve">LaRC 1251 </t>
  </si>
  <si>
    <t xml:space="preserve">LaRC 1251A-15" </t>
  </si>
  <si>
    <t xml:space="preserve">LaRC 1251A-31" </t>
  </si>
  <si>
    <t>LaRC 1265</t>
  </si>
  <si>
    <t xml:space="preserve">LaRC 1275 </t>
  </si>
  <si>
    <t>LaRC 644</t>
  </si>
  <si>
    <t xml:space="preserve">LaRC 645 </t>
  </si>
  <si>
    <t>LaRC 648</t>
  </si>
  <si>
    <t>MSFC 4732</t>
  </si>
  <si>
    <t xml:space="preserve">MSFC 4775 </t>
  </si>
  <si>
    <t>Assuming 80% occupancy</t>
  </si>
  <si>
    <t>Average annual wind tunnel operations cost in 2026$:</t>
  </si>
  <si>
    <t>Estimated TU DELFT Operational costs of the wind tunnels for all 9 wind tunnels:</t>
  </si>
  <si>
    <t>Date</t>
  </si>
  <si>
    <t>Aircraft</t>
  </si>
  <si>
    <t>Origin</t>
  </si>
  <si>
    <t>Destination</t>
  </si>
  <si>
    <t>Departure</t>
  </si>
  <si>
    <t>Arrival</t>
  </si>
  <si>
    <t>Duration H:M</t>
  </si>
  <si>
    <t>Duration M</t>
  </si>
  <si>
    <t>C550</t>
  </si>
  <si>
    <t>Turin Int'l (Torino Caselle) (TRN / LIMF)</t>
  </si>
  <si>
    <t>Rotterdam (RTM / EHRD)</t>
  </si>
  <si>
    <t>03:03PM CEST</t>
  </si>
  <si>
    <t>04:51PM CEST</t>
  </si>
  <si>
    <t>09:23AM CEST</t>
  </si>
  <si>
    <t>12:38PM CEST</t>
  </si>
  <si>
    <t>Ostend-Bruges Int'l (OST / EBOS)</t>
  </si>
  <si>
    <t>03:36PM CET</t>
  </si>
  <si>
    <t>04:33PM CET</t>
  </si>
  <si>
    <t>02:24PM CET</t>
  </si>
  <si>
    <t>03:16PM CET</t>
  </si>
  <si>
    <t>09:33AM CET</t>
  </si>
  <si>
    <t>10:56AM CET</t>
  </si>
  <si>
    <t>03:50PM CET</t>
  </si>
  <si>
    <t>05:03PM CET</t>
  </si>
  <si>
    <t>02:00PM CET</t>
  </si>
  <si>
    <t>03:17PM CET</t>
  </si>
  <si>
    <t>11:42AM CET</t>
  </si>
  <si>
    <t>12:52PM CET</t>
  </si>
  <si>
    <t>09:52AM CET</t>
  </si>
  <si>
    <t>11:07AM CET</t>
  </si>
  <si>
    <t>03:40PM CET</t>
  </si>
  <si>
    <t>04:41PM CET</t>
  </si>
  <si>
    <t>01:51PM CET</t>
  </si>
  <si>
    <t>02:57PM CET</t>
  </si>
  <si>
    <t>11:21AM CET</t>
  </si>
  <si>
    <t>12:24PM CET</t>
  </si>
  <si>
    <t>09:38AM CET</t>
  </si>
  <si>
    <t>10:45AM CET</t>
  </si>
  <si>
    <t>04:48PM CET</t>
  </si>
  <si>
    <t>01:54PM CET</t>
  </si>
  <si>
    <t>02:59PM CET</t>
  </si>
  <si>
    <t>11:16AM CET</t>
  </si>
  <si>
    <t>12:14PM CET</t>
  </si>
  <si>
    <t>09:37AM CET</t>
  </si>
  <si>
    <t>10:35AM CET</t>
  </si>
  <si>
    <t>03:37PM CET</t>
  </si>
  <si>
    <t>04:34PM CET</t>
  </si>
  <si>
    <t>02:56PM CET</t>
  </si>
  <si>
    <t>11:24AM CET</t>
  </si>
  <si>
    <t>12:29PM CET</t>
  </si>
  <si>
    <t>09:44AM CET</t>
  </si>
  <si>
    <t>10:50AM CET</t>
  </si>
  <si>
    <t>03:51PM CET</t>
  </si>
  <si>
    <t>04:56PM CET</t>
  </si>
  <si>
    <t>02:04PM CET</t>
  </si>
  <si>
    <t>Near Rotterdam</t>
  </si>
  <si>
    <t>11:17AM CET</t>
  </si>
  <si>
    <t>12:19PM CET</t>
  </si>
  <si>
    <t>09:39AM CET</t>
  </si>
  <si>
    <t>10:43AM CET</t>
  </si>
  <si>
    <t>04:59PM CET</t>
  </si>
  <si>
    <t>05:56PM CET</t>
  </si>
  <si>
    <t>04:20PM CET</t>
  </si>
  <si>
    <t>03:13PM CET</t>
  </si>
  <si>
    <t>04:10PM CET</t>
  </si>
  <si>
    <t>05:15PM CET</t>
  </si>
  <si>
    <t>02:08PM CET</t>
  </si>
  <si>
    <t>11:27AM CET</t>
  </si>
  <si>
    <t>12:30PM CET</t>
  </si>
  <si>
    <t>09:43AM CET</t>
  </si>
  <si>
    <t>03:44PM CET</t>
  </si>
  <si>
    <t>03:11PM CET</t>
  </si>
  <si>
    <t>11:33AM CET</t>
  </si>
  <si>
    <t>12:44PM CET</t>
  </si>
  <si>
    <t>09:47AM CET</t>
  </si>
  <si>
    <t>11:03AM CET</t>
  </si>
  <si>
    <t>03:34PM CET</t>
  </si>
  <si>
    <t>01:55PM CET</t>
  </si>
  <si>
    <t>03:05PM CET</t>
  </si>
  <si>
    <t>11:29AM CET</t>
  </si>
  <si>
    <t>09:45AM CET</t>
  </si>
  <si>
    <t>10:57AM CET</t>
  </si>
  <si>
    <t>03:42PM CET</t>
  </si>
  <si>
    <t>04:49PM CET</t>
  </si>
  <si>
    <t>02:03PM CET</t>
  </si>
  <si>
    <t>03:15PM CET</t>
  </si>
  <si>
    <t>Total Flight Time in 3 months [min]:</t>
  </si>
  <si>
    <t>Estimated yearly flight time [min]:</t>
  </si>
  <si>
    <t>https://www.flightaware.com/live/flight/PHLAB/history</t>
  </si>
  <si>
    <t>Estimated yearly Flight Time [Hours]:</t>
  </si>
  <si>
    <t>Cost per 200 hours of flight:</t>
  </si>
  <si>
    <t>Cost per hour:</t>
  </si>
  <si>
    <t>https://www.libertyjet.com/jet-ownership-costs.aspx?jetType=CE-550</t>
  </si>
  <si>
    <t>Cost per 400 hours of flight:</t>
  </si>
  <si>
    <t>Aproximate cost of operations for the PH-LAB:</t>
  </si>
  <si>
    <t>Estimated TUD Yearly expenditure on testing (dollars):</t>
  </si>
  <si>
    <t>Estimated TUD Yearly expenditure on testing (Euro):</t>
  </si>
  <si>
    <t>Team Number [e.g. M1]</t>
  </si>
  <si>
    <t xml:space="preserve">Team Name </t>
  </si>
  <si>
    <t>HUGO</t>
  </si>
  <si>
    <t>Product Description and Intended User</t>
  </si>
  <si>
    <t>The HUGO UAV is a high-speed subsonic test platform for aerodynamic testing of highly flexible wings and advanced flutter-suppresing control systems. The main users are universities and research institutions who lack direct access to transonic wind tunnels. Secondary customers also include aircraft manufacturers and defense companies primarily for testing new aerodynamic components.</t>
  </si>
  <si>
    <t>Payer/Buyer</t>
  </si>
  <si>
    <t>Universities and research institutions such as DLR or NLR. Aerospace and defense manufacturers.</t>
  </si>
  <si>
    <t>Target Market</t>
  </si>
  <si>
    <t>Universities and research centres.</t>
  </si>
  <si>
    <t>Target Market Size (in 000s Euros)</t>
  </si>
  <si>
    <t>Revenue Model and Pricing Strategy</t>
  </si>
  <si>
    <t>Leasing model with price per flight day. This price reflects the direct costs associated with the flight day organization, a fraction of the UAV manufacturing and operations costs + profit.</t>
  </si>
  <si>
    <t>Euros (in 000s)</t>
  </si>
  <si>
    <t>%</t>
  </si>
  <si>
    <t>Target market share you obtain in this year</t>
  </si>
  <si>
    <t>In which year of operation do you think you'll reach the target year?</t>
  </si>
  <si>
    <t xml:space="preserve"> </t>
  </si>
  <si>
    <t>Year of Target Year:</t>
  </si>
  <si>
    <t>Enter number</t>
  </si>
  <si>
    <t>Unit Definition</t>
  </si>
  <si>
    <t>Define a unit here. (e.g. product, monthly subscriptions, transactions on a platform, etc.). This must be in line with your revenue model</t>
  </si>
  <si>
    <t>Sales (or Revenue) excluding VAT</t>
  </si>
  <si>
    <t>Quantity (Volume) of Test Days Sold Per year (for one aircraft)</t>
  </si>
  <si>
    <t>Price per Flight Day</t>
  </si>
  <si>
    <t xml:space="preserve">Cost of Goods Sold (or Cost of Sales) </t>
  </si>
  <si>
    <t>Gross Profit / Gross Margin</t>
  </si>
  <si>
    <t>Operating Expenses</t>
  </si>
  <si>
    <t>All operating expenses qualify to be present in</t>
  </si>
  <si>
    <t>EBITDA</t>
  </si>
  <si>
    <t xml:space="preserve">Operating Profit (EBIT) </t>
  </si>
  <si>
    <t xml:space="preserve">Corporate Tax Rate (%) </t>
  </si>
  <si>
    <t>…we assume no liabilities here</t>
  </si>
  <si>
    <t>Net Profit</t>
  </si>
  <si>
    <t>Estimated No. of Employees (including founders)</t>
  </si>
  <si>
    <t>Cash flow on an annual basis Day 1 until the target year is reached. Day 1 - Full time commitment to the startup by all cofounders. Negative number is cash leaving the company</t>
  </si>
  <si>
    <t>Target Year</t>
  </si>
  <si>
    <t>Year</t>
  </si>
  <si>
    <t>…</t>
  </si>
  <si>
    <t>…add as many years as you see fit, until the target year</t>
  </si>
  <si>
    <t>Cash flow from operating activites</t>
  </si>
  <si>
    <t>Depreciation and Amortization</t>
  </si>
  <si>
    <t>Cash flow from investing activites</t>
  </si>
  <si>
    <t>Investment in fixed assets</t>
  </si>
  <si>
    <t>Investment in intangibles</t>
  </si>
  <si>
    <t>Cash flow from financing activities</t>
  </si>
  <si>
    <t>Issued shares (equity)</t>
  </si>
  <si>
    <t>New Debt</t>
  </si>
  <si>
    <t>Repayment of Debt</t>
  </si>
  <si>
    <t>Dividends</t>
  </si>
  <si>
    <t>Net cash flow</t>
  </si>
  <si>
    <t>Closing Balance</t>
  </si>
  <si>
    <t>…make sure you connect the closing balance here if you add more years. Follow the logic</t>
  </si>
  <si>
    <t>Metrics</t>
  </si>
  <si>
    <t>Total Sales (Revenue)</t>
  </si>
  <si>
    <t>Units Sold</t>
  </si>
  <si>
    <t>Price</t>
  </si>
  <si>
    <t>No. of Employees (with founders)</t>
  </si>
  <si>
    <t>Any other important metric</t>
  </si>
  <si>
    <t>Milestones achieved</t>
  </si>
  <si>
    <t>Give us a sense of the timeline</t>
  </si>
  <si>
    <t>Which month of which year?</t>
  </si>
  <si>
    <t xml:space="preserve">When is your first sale (market entry)? </t>
  </si>
  <si>
    <t>Cash flow positive from operations?</t>
  </si>
  <si>
    <t>Timeline and Milestone</t>
  </si>
  <si>
    <t xml:space="preserve">Tell us briefly how your startup will evolve over time until it gets to the target year. </t>
  </si>
  <si>
    <t>External Funding</t>
  </si>
  <si>
    <t xml:space="preserve">Tell us about the external funding you plan to raise (if any). Tell us the amounts, the type of financing source , and add any specific links to the funding organizations. They need to align with casfhlow from financing. </t>
  </si>
  <si>
    <t>General Remark</t>
  </si>
  <si>
    <t xml:space="preserve">Feel free to have a more detailed cashflow (in quarters instead of annual) if you think this will structure your thinking about your business better. If you decide to do that, do it in a separate sheet. </t>
  </si>
  <si>
    <t>Undo_Columns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</si>
</sst>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_ * #,##0_ ;_ * \-#,##0_ ;_ * &quot;-&quot;??_ ;_ @_ "/>
    <numFmt numFmtId="166" formatCode="#,##0.00\ [$€-1]"/>
    <numFmt numFmtId="167" formatCode="[$$-540A]#,##0.00"/>
  </numFmts>
  <fonts count="23">
    <font>
      <sz val="12"/>
      <color theme="1"/>
      <name val="Calibri"/>
      <family val="2"/>
      <scheme val="minor"/>
    </font>
    <font>
      <i/>
      <sz val="12"/>
      <color theme="1"/>
      <name val="Calibri"/>
      <family val="2"/>
    </font>
    <font>
      <sz val="12"/>
      <color theme="1"/>
      <name val="Calibri"/>
      <family val="2"/>
    </font>
    <font>
      <sz val="10"/>
      <color theme="1"/>
      <name val="Calibri"/>
      <family val="2"/>
    </font>
    <font>
      <b/>
      <sz val="12"/>
      <color theme="1"/>
      <name val="Calibri"/>
      <family val="2"/>
      <scheme val="minor"/>
    </font>
    <font>
      <b/>
      <sz val="10"/>
      <color rgb="FF000000"/>
      <name val="Tahoma"/>
      <family val="2"/>
    </font>
    <font>
      <sz val="10"/>
      <color rgb="FF000000"/>
      <name val="Tahoma"/>
      <family val="2"/>
    </font>
    <font>
      <i/>
      <sz val="12"/>
      <color theme="1"/>
      <name val="Calibri"/>
      <family val="2"/>
      <scheme val="minor"/>
    </font>
    <font>
      <i/>
      <sz val="10"/>
      <color theme="1"/>
      <name val="Calibri"/>
      <family val="2"/>
      <scheme val="minor"/>
    </font>
    <font>
      <b/>
      <sz val="12"/>
      <color rgb="FFFF0000"/>
      <name val="Calibri"/>
      <family val="2"/>
      <scheme val="minor"/>
    </font>
    <font>
      <sz val="12"/>
      <color theme="1"/>
      <name val="Calibri"/>
      <family val="2"/>
      <scheme val="minor"/>
    </font>
    <font>
      <sz val="12"/>
      <name val="Calibri"/>
      <family val="2"/>
      <scheme val="minor"/>
    </font>
    <font>
      <i/>
      <sz val="12"/>
      <name val="Calibri"/>
      <family val="2"/>
      <scheme val="minor"/>
    </font>
    <font>
      <sz val="10"/>
      <name val="Calibri"/>
      <family val="2"/>
      <scheme val="minor"/>
    </font>
    <font>
      <b/>
      <sz val="12"/>
      <name val="Calibri"/>
      <family val="2"/>
      <scheme val="minor"/>
    </font>
    <font>
      <i/>
      <sz val="10"/>
      <color theme="1"/>
      <name val="Calibri"/>
      <family val="2"/>
    </font>
    <font>
      <i/>
      <sz val="10"/>
      <name val="Calibri"/>
      <family val="2"/>
      <scheme val="minor"/>
    </font>
    <font>
      <sz val="10"/>
      <color theme="1"/>
      <name val="Calibri"/>
      <family val="2"/>
      <scheme val="minor"/>
    </font>
    <font>
      <b/>
      <sz val="12"/>
      <color theme="1"/>
      <name val="Calibri"/>
      <family val="2"/>
    </font>
    <font>
      <u/>
      <sz val="12"/>
      <color theme="10"/>
      <name val="Calibri"/>
      <family val="2"/>
      <scheme val="minor"/>
    </font>
    <font>
      <b/>
      <sz val="12"/>
      <color rgb="FF000000"/>
      <name val="Calibri"/>
      <scheme val="minor"/>
    </font>
    <font>
      <sz val="12"/>
      <color rgb="FF000000"/>
      <name val="Calibri"/>
      <scheme val="minor"/>
    </font>
    <font>
      <sz val="12"/>
      <color rgb="FF000000"/>
      <name val="Calibri"/>
      <charset val="1"/>
    </font>
  </fonts>
  <fills count="7">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0" fillId="0" borderId="0" applyFont="0" applyFill="0" applyBorder="0" applyAlignment="0" applyProtection="0"/>
    <xf numFmtId="0" fontId="19" fillId="0" borderId="0" applyNumberFormat="0" applyFill="0" applyBorder="0" applyAlignment="0" applyProtection="0"/>
  </cellStyleXfs>
  <cellXfs count="85">
    <xf numFmtId="0" fontId="0" fillId="0" borderId="0" xfId="0"/>
    <xf numFmtId="0" fontId="2" fillId="0" borderId="0" xfId="0" applyFont="1"/>
    <xf numFmtId="0" fontId="1" fillId="0" borderId="0" xfId="0" applyFont="1" applyAlignment="1">
      <alignment wrapText="1"/>
    </xf>
    <xf numFmtId="0" fontId="3" fillId="0" borderId="1" xfId="0" applyFont="1" applyBorder="1" applyAlignment="1">
      <alignment wrapText="1"/>
    </xf>
    <xf numFmtId="0" fontId="2" fillId="0" borderId="0" xfId="0" applyFont="1" applyAlignment="1">
      <alignment wrapText="1"/>
    </xf>
    <xf numFmtId="0" fontId="0" fillId="3" borderId="0" xfId="0" applyFill="1"/>
    <xf numFmtId="0" fontId="4" fillId="0" borderId="0" xfId="0" applyFont="1"/>
    <xf numFmtId="0" fontId="0" fillId="0" borderId="0" xfId="0" applyAlignment="1">
      <alignment wrapText="1"/>
    </xf>
    <xf numFmtId="0" fontId="4" fillId="0" borderId="0" xfId="0" applyFont="1" applyAlignment="1">
      <alignment wrapText="1"/>
    </xf>
    <xf numFmtId="165" fontId="0" fillId="2" borderId="0" xfId="1" applyNumberFormat="1" applyFont="1" applyFill="1"/>
    <xf numFmtId="0" fontId="11" fillId="0" borderId="0" xfId="0" applyFont="1"/>
    <xf numFmtId="0" fontId="0" fillId="0" borderId="0" xfId="0" applyProtection="1">
      <protection locked="0"/>
    </xf>
    <xf numFmtId="0" fontId="4" fillId="0" borderId="10" xfId="0" applyFont="1" applyBorder="1" applyProtection="1">
      <protection locked="0"/>
    </xf>
    <xf numFmtId="0" fontId="11" fillId="0" borderId="0" xfId="0" applyFont="1" applyProtection="1">
      <protection locked="0"/>
    </xf>
    <xf numFmtId="0" fontId="0" fillId="2" borderId="0" xfId="0" applyFill="1" applyProtection="1">
      <protection locked="0"/>
    </xf>
    <xf numFmtId="165" fontId="0" fillId="0" borderId="0" xfId="1" applyNumberFormat="1" applyFont="1" applyProtection="1">
      <protection locked="0"/>
    </xf>
    <xf numFmtId="0" fontId="0" fillId="2" borderId="16" xfId="0" applyFill="1" applyBorder="1" applyProtection="1">
      <protection locked="0"/>
    </xf>
    <xf numFmtId="0" fontId="12" fillId="0" borderId="0" xfId="0" applyFont="1" applyProtection="1">
      <protection locked="0"/>
    </xf>
    <xf numFmtId="0" fontId="13" fillId="0" borderId="0" xfId="0" applyFont="1" applyAlignment="1" applyProtection="1">
      <alignment horizontal="left" vertical="top" wrapText="1"/>
      <protection locked="0"/>
    </xf>
    <xf numFmtId="0" fontId="14" fillId="0" borderId="9" xfId="0" applyFont="1" applyBorder="1" applyProtection="1">
      <protection locked="0"/>
    </xf>
    <xf numFmtId="0" fontId="0" fillId="0" borderId="9" xfId="0" applyBorder="1" applyProtection="1">
      <protection locked="0"/>
    </xf>
    <xf numFmtId="165" fontId="0" fillId="2" borderId="0" xfId="1" applyNumberFormat="1" applyFont="1" applyFill="1" applyProtection="1">
      <protection locked="0"/>
    </xf>
    <xf numFmtId="0" fontId="4" fillId="0" borderId="0" xfId="0" applyFont="1" applyProtection="1">
      <protection locked="0"/>
    </xf>
    <xf numFmtId="165" fontId="0" fillId="0" borderId="0" xfId="1" applyNumberFormat="1" applyFont="1" applyFill="1" applyProtection="1">
      <protection locked="0"/>
    </xf>
    <xf numFmtId="0" fontId="7" fillId="0" borderId="0" xfId="0" applyFont="1" applyProtection="1">
      <protection locked="0"/>
    </xf>
    <xf numFmtId="0" fontId="4" fillId="0" borderId="11" xfId="0" applyFont="1" applyBorder="1" applyProtection="1">
      <protection locked="0"/>
    </xf>
    <xf numFmtId="0" fontId="0" fillId="0" borderId="11" xfId="0" applyBorder="1" applyProtection="1">
      <protection locked="0"/>
    </xf>
    <xf numFmtId="165" fontId="0" fillId="3" borderId="0" xfId="1" applyNumberFormat="1" applyFont="1" applyFill="1" applyProtection="1"/>
    <xf numFmtId="165" fontId="0" fillId="3" borderId="11" xfId="1" applyNumberFormat="1" applyFont="1" applyFill="1" applyBorder="1" applyProtection="1"/>
    <xf numFmtId="0" fontId="0" fillId="4" borderId="0" xfId="0" applyFill="1" applyProtection="1">
      <protection locked="0"/>
    </xf>
    <xf numFmtId="0" fontId="18" fillId="0" borderId="0" xfId="0" applyFont="1" applyProtection="1">
      <protection locked="0"/>
    </xf>
    <xf numFmtId="0" fontId="2" fillId="0" borderId="0" xfId="0" applyFont="1" applyProtection="1">
      <protection locked="0"/>
    </xf>
    <xf numFmtId="0" fontId="18" fillId="0" borderId="17" xfId="0" applyFont="1" applyBorder="1" applyProtection="1">
      <protection locked="0"/>
    </xf>
    <xf numFmtId="0" fontId="0" fillId="0" borderId="17" xfId="0" applyBorder="1" applyProtection="1">
      <protection locked="0"/>
    </xf>
    <xf numFmtId="0" fontId="9" fillId="0" borderId="0" xfId="0" applyFont="1" applyProtection="1">
      <protection locked="0"/>
    </xf>
    <xf numFmtId="0" fontId="0" fillId="3" borderId="17" xfId="0" applyFill="1" applyBorder="1"/>
    <xf numFmtId="165" fontId="0" fillId="3" borderId="9" xfId="1" applyNumberFormat="1" applyFont="1" applyFill="1" applyBorder="1" applyProtection="1">
      <protection locked="0"/>
    </xf>
    <xf numFmtId="0" fontId="19" fillId="0" borderId="0" xfId="2"/>
    <xf numFmtId="0" fontId="19" fillId="0" borderId="0" xfId="2" applyAlignment="1">
      <alignment wrapText="1"/>
    </xf>
    <xf numFmtId="3" fontId="0" fillId="0" borderId="0" xfId="0" applyNumberFormat="1"/>
    <xf numFmtId="0" fontId="11" fillId="0" borderId="0" xfId="2" applyFont="1" applyAlignment="1">
      <alignment wrapText="1"/>
    </xf>
    <xf numFmtId="15" fontId="19" fillId="0" borderId="0" xfId="2" applyNumberFormat="1"/>
    <xf numFmtId="20" fontId="0" fillId="0" borderId="0" xfId="0" applyNumberFormat="1"/>
    <xf numFmtId="1" fontId="0" fillId="0" borderId="0" xfId="0" applyNumberFormat="1"/>
    <xf numFmtId="166" fontId="0" fillId="0" borderId="0" xfId="0" applyNumberFormat="1"/>
    <xf numFmtId="167" fontId="0" fillId="0" borderId="0" xfId="0" applyNumberFormat="1"/>
    <xf numFmtId="0" fontId="4" fillId="5" borderId="0" xfId="0" applyFont="1" applyFill="1" applyAlignment="1">
      <alignment wrapText="1"/>
    </xf>
    <xf numFmtId="166" fontId="4" fillId="5" borderId="0" xfId="0" applyNumberFormat="1" applyFont="1" applyFill="1"/>
    <xf numFmtId="166" fontId="19" fillId="0" borderId="0" xfId="2" applyNumberFormat="1" applyAlignment="1">
      <alignment wrapText="1"/>
    </xf>
    <xf numFmtId="166" fontId="0" fillId="0" borderId="0" xfId="0" applyNumberFormat="1" applyAlignment="1">
      <alignment wrapText="1"/>
    </xf>
    <xf numFmtId="0" fontId="22" fillId="0" borderId="0" xfId="0" applyFont="1" applyProtection="1">
      <protection locked="0"/>
    </xf>
    <xf numFmtId="0" fontId="0" fillId="0" borderId="0" xfId="0" applyAlignment="1" applyProtection="1">
      <alignment vertical="top"/>
      <protection locked="0"/>
    </xf>
    <xf numFmtId="0" fontId="8" fillId="0" borderId="0" xfId="0" applyFont="1" applyAlignment="1" applyProtection="1">
      <alignment vertical="top" wrapText="1"/>
      <protection locked="0"/>
    </xf>
    <xf numFmtId="0" fontId="17" fillId="0" borderId="0" xfId="0" applyFont="1" applyAlignment="1" applyProtection="1">
      <alignment vertical="top" wrapText="1"/>
      <protection locked="0"/>
    </xf>
    <xf numFmtId="0" fontId="0" fillId="6" borderId="0" xfId="0" applyFill="1" applyProtection="1">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16" fillId="0" borderId="12" xfId="0" applyFont="1" applyBorder="1" applyAlignment="1" applyProtection="1">
      <alignment horizontal="left" vertical="top" wrapText="1"/>
      <protection locked="0"/>
    </xf>
    <xf numFmtId="0" fontId="16" fillId="0" borderId="0" xfId="0" applyFont="1" applyAlignment="1" applyProtection="1">
      <alignment horizontal="left" vertical="top" wrapText="1"/>
      <protection locked="0"/>
    </xf>
    <xf numFmtId="0" fontId="21"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wrapText="1"/>
    </xf>
    <xf numFmtId="0" fontId="19" fillId="0" borderId="0" xfId="2" applyAlignment="1">
      <alignment horizontal="center" wrapText="1"/>
    </xf>
    <xf numFmtId="0" fontId="15" fillId="0" borderId="2" xfId="0" applyFont="1" applyBorder="1" applyAlignment="1">
      <alignment horizontal="left" vertical="top" wrapText="1"/>
    </xf>
    <xf numFmtId="0" fontId="15" fillId="0" borderId="3" xfId="0" applyFont="1" applyBorder="1" applyAlignment="1">
      <alignment horizontal="left" vertical="top" wrapText="1"/>
    </xf>
    <xf numFmtId="0" fontId="15" fillId="0" borderId="4" xfId="0" applyFont="1" applyBorder="1" applyAlignment="1">
      <alignment horizontal="left" vertical="top" wrapText="1"/>
    </xf>
    <xf numFmtId="0" fontId="0" fillId="2" borderId="0" xfId="0" applyFill="1" applyAlignment="1" applyProtection="1">
      <alignment horizontal="left" vertical="top" wrapText="1"/>
      <protection locked="0"/>
    </xf>
    <xf numFmtId="0" fontId="8" fillId="0" borderId="5" xfId="0" applyFont="1" applyBorder="1" applyAlignment="1" applyProtection="1">
      <alignment horizontal="left" vertical="top" wrapText="1"/>
      <protection locked="0"/>
    </xf>
    <xf numFmtId="0" fontId="8" fillId="0" borderId="9" xfId="0" applyFont="1" applyBorder="1" applyAlignment="1" applyProtection="1">
      <alignment horizontal="left" vertical="top" wrapText="1"/>
      <protection locked="0"/>
    </xf>
    <xf numFmtId="0" fontId="8" fillId="0" borderId="6" xfId="0" applyFont="1" applyBorder="1" applyAlignment="1" applyProtection="1">
      <alignment horizontal="left" vertical="top" wrapText="1"/>
      <protection locked="0"/>
    </xf>
    <xf numFmtId="0" fontId="8" fillId="0" borderId="12" xfId="0" applyFont="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8" fillId="0" borderId="13" xfId="0" applyFont="1" applyBorder="1" applyAlignment="1" applyProtection="1">
      <alignment horizontal="left" vertical="top" wrapText="1"/>
      <protection locked="0"/>
    </xf>
    <xf numFmtId="0" fontId="8" fillId="0" borderId="7" xfId="0" applyFont="1" applyBorder="1" applyAlignment="1" applyProtection="1">
      <alignment horizontal="left" vertical="top" wrapText="1"/>
      <protection locked="0"/>
    </xf>
    <xf numFmtId="0" fontId="8" fillId="0" borderId="10" xfId="0" applyFont="1" applyBorder="1" applyAlignment="1" applyProtection="1">
      <alignment horizontal="left" vertical="top" wrapText="1"/>
      <protection locked="0"/>
    </xf>
    <xf numFmtId="0" fontId="8" fillId="0" borderId="8" xfId="0" applyFont="1"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A9D18E"/>
      <color rgb="FFEA0B29"/>
      <color rgb="FFE40C1C"/>
      <color rgb="FFDDE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5</xdr:col>
      <xdr:colOff>101600</xdr:colOff>
      <xdr:row>0</xdr:row>
      <xdr:rowOff>50800</xdr:rowOff>
    </xdr:from>
    <xdr:to>
      <xdr:col>5</xdr:col>
      <xdr:colOff>1351280</xdr:colOff>
      <xdr:row>2</xdr:row>
      <xdr:rowOff>81280</xdr:rowOff>
    </xdr:to>
    <xdr:sp macro="[0]!UndoLastColumn" textlink="">
      <xdr:nvSpPr>
        <xdr:cNvPr id="2" name="Rectangle 1">
          <a:extLst>
            <a:ext uri="{FF2B5EF4-FFF2-40B4-BE49-F238E27FC236}">
              <a16:creationId xmlns:a16="http://schemas.microsoft.com/office/drawing/2014/main" id="{996EF34A-750A-6849-BBA5-9D3DC26639C2}"/>
            </a:ext>
          </a:extLst>
        </xdr:cNvPr>
        <xdr:cNvSpPr/>
      </xdr:nvSpPr>
      <xdr:spPr>
        <a:xfrm flipH="1">
          <a:off x="72517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71011CA3-824E-264F-BFFD-1D142880C2D9}"/>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101600</xdr:colOff>
      <xdr:row>0</xdr:row>
      <xdr:rowOff>50800</xdr:rowOff>
    </xdr:from>
    <xdr:to>
      <xdr:col>6</xdr:col>
      <xdr:colOff>1351280</xdr:colOff>
      <xdr:row>2</xdr:row>
      <xdr:rowOff>81280</xdr:rowOff>
    </xdr:to>
    <xdr:sp macro="[0]!UndoLastColumn" textlink="">
      <xdr:nvSpPr>
        <xdr:cNvPr id="2" name="Rectangle 1">
          <a:extLst>
            <a:ext uri="{FF2B5EF4-FFF2-40B4-BE49-F238E27FC236}">
              <a16:creationId xmlns:a16="http://schemas.microsoft.com/office/drawing/2014/main" id="{88D2D4AB-B17C-4249-B66D-A560DE76EBC5}"/>
            </a:ext>
          </a:extLst>
        </xdr:cNvPr>
        <xdr:cNvSpPr/>
      </xdr:nvSpPr>
      <xdr:spPr>
        <a:xfrm flipH="1">
          <a:off x="83693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B2948956-7228-E840-BD29-BD6AC088B8D3}"/>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101600</xdr:colOff>
      <xdr:row>0</xdr:row>
      <xdr:rowOff>50800</xdr:rowOff>
    </xdr:from>
    <xdr:to>
      <xdr:col>7</xdr:col>
      <xdr:colOff>1351280</xdr:colOff>
      <xdr:row>2</xdr:row>
      <xdr:rowOff>81280</xdr:rowOff>
    </xdr:to>
    <xdr:sp macro="[0]!UndoLastColumn" textlink="">
      <xdr:nvSpPr>
        <xdr:cNvPr id="2" name="Rectangle 1">
          <a:extLst>
            <a:ext uri="{FF2B5EF4-FFF2-40B4-BE49-F238E27FC236}">
              <a16:creationId xmlns:a16="http://schemas.microsoft.com/office/drawing/2014/main" id="{CC73B5CA-5AA8-7C44-839F-F656FD77AA10}"/>
            </a:ext>
          </a:extLst>
        </xdr:cNvPr>
        <xdr:cNvSpPr/>
      </xdr:nvSpPr>
      <xdr:spPr>
        <a:xfrm flipH="1">
          <a:off x="94869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265A5605-9565-B343-83A6-298F7FE174BB}"/>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101600</xdr:colOff>
      <xdr:row>0</xdr:row>
      <xdr:rowOff>50800</xdr:rowOff>
    </xdr:from>
    <xdr:to>
      <xdr:col>8</xdr:col>
      <xdr:colOff>1351280</xdr:colOff>
      <xdr:row>2</xdr:row>
      <xdr:rowOff>81280</xdr:rowOff>
    </xdr:to>
    <xdr:sp macro="[0]!UndoLastColumn" textlink="">
      <xdr:nvSpPr>
        <xdr:cNvPr id="2" name="Rectangle 1">
          <a:extLst>
            <a:ext uri="{FF2B5EF4-FFF2-40B4-BE49-F238E27FC236}">
              <a16:creationId xmlns:a16="http://schemas.microsoft.com/office/drawing/2014/main" id="{61CAAEA1-27FD-664A-990E-209007FD8DE9}"/>
            </a:ext>
          </a:extLst>
        </xdr:cNvPr>
        <xdr:cNvSpPr/>
      </xdr:nvSpPr>
      <xdr:spPr>
        <a:xfrm flipH="1">
          <a:off x="106045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1C4479FE-5CC4-854F-8AFF-5DAACF4C71B1}"/>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101600</xdr:colOff>
      <xdr:row>0</xdr:row>
      <xdr:rowOff>50800</xdr:rowOff>
    </xdr:from>
    <xdr:to>
      <xdr:col>9</xdr:col>
      <xdr:colOff>1351280</xdr:colOff>
      <xdr:row>2</xdr:row>
      <xdr:rowOff>81280</xdr:rowOff>
    </xdr:to>
    <xdr:sp macro="[0]!UndoLastColumn" textlink="">
      <xdr:nvSpPr>
        <xdr:cNvPr id="2" name="Rectangle 1">
          <a:extLst>
            <a:ext uri="{FF2B5EF4-FFF2-40B4-BE49-F238E27FC236}">
              <a16:creationId xmlns:a16="http://schemas.microsoft.com/office/drawing/2014/main" id="{C71BE9F1-9C5E-3C47-9E11-49FFC4306AB3}"/>
            </a:ext>
          </a:extLst>
        </xdr:cNvPr>
        <xdr:cNvSpPr/>
      </xdr:nvSpPr>
      <xdr:spPr>
        <a:xfrm flipH="1">
          <a:off x="117221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0CC0B0B1-9744-934C-B67C-E1AF05CE39C4}"/>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flightaware.com/live/airport/EHRD" TargetMode="External"/><Relationship Id="rId21" Type="http://schemas.openxmlformats.org/officeDocument/2006/relationships/hyperlink" Target="https://www.flightaware.com/live/flight/PHLAB/history/20260324/1257Z/EHRD/EHRD" TargetMode="External"/><Relationship Id="rId42" Type="http://schemas.openxmlformats.org/officeDocument/2006/relationships/hyperlink" Target="https://www.flightaware.com/live/flight/PHLAB/history/20260320/1440Z/EHRD/EHRD" TargetMode="External"/><Relationship Id="rId47" Type="http://schemas.openxmlformats.org/officeDocument/2006/relationships/hyperlink" Target="https://www.flightaware.com/live/airport/EHRD" TargetMode="External"/><Relationship Id="rId63" Type="http://schemas.openxmlformats.org/officeDocument/2006/relationships/hyperlink" Target="https://www.flightaware.com/live/flight/PHLAB/history/20260319/0845Z/EHRD/EHRD" TargetMode="External"/><Relationship Id="rId68" Type="http://schemas.openxmlformats.org/officeDocument/2006/relationships/hyperlink" Target="https://www.flightaware.com/live/airport/EHRD" TargetMode="External"/><Relationship Id="rId84" Type="http://schemas.openxmlformats.org/officeDocument/2006/relationships/hyperlink" Target="https://www.flightaware.com/live/airport/EHRD" TargetMode="External"/><Relationship Id="rId89" Type="http://schemas.openxmlformats.org/officeDocument/2006/relationships/hyperlink" Target="https://www.flightaware.com/live/flight/PHLAB/history/20260316/1307Z/EHRD/EHRD" TargetMode="External"/><Relationship Id="rId112" Type="http://schemas.openxmlformats.org/officeDocument/2006/relationships/hyperlink" Target="https://www.flightaware.com/live/airport/EHRD" TargetMode="External"/><Relationship Id="rId16" Type="http://schemas.openxmlformats.org/officeDocument/2006/relationships/hyperlink" Target="https://www.flightaware.com/live/airport/EHRD" TargetMode="External"/><Relationship Id="rId107" Type="http://schemas.openxmlformats.org/officeDocument/2006/relationships/hyperlink" Target="https://www.flightaware.com/live/flight/PHLAB/history/20260313/0842Z/EHRD/EHRD" TargetMode="External"/><Relationship Id="rId11" Type="http://schemas.openxmlformats.org/officeDocument/2006/relationships/hyperlink" Target="https://www.flightaware.com/live/airport/EHRD" TargetMode="External"/><Relationship Id="rId32" Type="http://schemas.openxmlformats.org/officeDocument/2006/relationships/hyperlink" Target="https://www.flightaware.com/live/airport/EHRD" TargetMode="External"/><Relationship Id="rId37" Type="http://schemas.openxmlformats.org/officeDocument/2006/relationships/hyperlink" Target="https://www.flightaware.com/live/airport/EHRD" TargetMode="External"/><Relationship Id="rId53" Type="http://schemas.openxmlformats.org/officeDocument/2006/relationships/hyperlink" Target="https://www.flightaware.com/live/airport/EHRD" TargetMode="External"/><Relationship Id="rId58" Type="http://schemas.openxmlformats.org/officeDocument/2006/relationships/hyperlink" Target="https://www.flightaware.com/live/airport/EHRD" TargetMode="External"/><Relationship Id="rId74" Type="http://schemas.openxmlformats.org/officeDocument/2006/relationships/hyperlink" Target="https://www.flightaware.com/live/flight/PHLAB/history/20260318/0840Z/EHRD/EHRD" TargetMode="External"/><Relationship Id="rId79" Type="http://schemas.openxmlformats.org/officeDocument/2006/relationships/hyperlink" Target="https://www.flightaware.com/live/airport/EHRD" TargetMode="External"/><Relationship Id="rId102" Type="http://schemas.openxmlformats.org/officeDocument/2006/relationships/hyperlink" Target="https://www.flightaware.com/live/airport/EHRD" TargetMode="External"/><Relationship Id="rId123" Type="http://schemas.openxmlformats.org/officeDocument/2006/relationships/hyperlink" Target="https://www.flightaware.com/live/airport/EHRD" TargetMode="External"/><Relationship Id="rId128" Type="http://schemas.openxmlformats.org/officeDocument/2006/relationships/hyperlink" Target="https://www.flightaware.com/live/flight/PHLAB/history" TargetMode="External"/><Relationship Id="rId5" Type="http://schemas.openxmlformats.org/officeDocument/2006/relationships/hyperlink" Target="https://www.flightaware.com/live/airport/EHRD" TargetMode="External"/><Relationship Id="rId90" Type="http://schemas.openxmlformats.org/officeDocument/2006/relationships/hyperlink" Target="https://www.flightaware.com/live/airport/EHRD" TargetMode="External"/><Relationship Id="rId95" Type="http://schemas.openxmlformats.org/officeDocument/2006/relationships/hyperlink" Target="https://www.flightaware.com/live/flight/PHLAB/history/20260316/0841Z/EHRD/EHRD" TargetMode="External"/><Relationship Id="rId22" Type="http://schemas.openxmlformats.org/officeDocument/2006/relationships/hyperlink" Target="https://www.flightaware.com/live/airport/EHRD" TargetMode="External"/><Relationship Id="rId27" Type="http://schemas.openxmlformats.org/officeDocument/2006/relationships/hyperlink" Target="https://www.flightaware.com/live/flight/PHLAB/history/20260324/0849Z/EHRD/EHRD" TargetMode="External"/><Relationship Id="rId43" Type="http://schemas.openxmlformats.org/officeDocument/2006/relationships/hyperlink" Target="https://www.flightaware.com/live/airport/EHRD" TargetMode="External"/><Relationship Id="rId48" Type="http://schemas.openxmlformats.org/officeDocument/2006/relationships/hyperlink" Target="https://www.flightaware.com/live/flight/PHLAB/history/20260320/1017Z/EHRD/EHRD" TargetMode="External"/><Relationship Id="rId64" Type="http://schemas.openxmlformats.org/officeDocument/2006/relationships/hyperlink" Target="https://www.flightaware.com/live/airport/EHRD" TargetMode="External"/><Relationship Id="rId69" Type="http://schemas.openxmlformats.org/officeDocument/2006/relationships/hyperlink" Target="https://www.flightaware.com/live/flight/PHLAB/history/20260318/1302Z/EHRD/EHRD" TargetMode="External"/><Relationship Id="rId113" Type="http://schemas.openxmlformats.org/officeDocument/2006/relationships/hyperlink" Target="https://www.flightaware.com/live/flight/PHLAB/history/20260312/1254Z/EHRD/EHRD" TargetMode="External"/><Relationship Id="rId118" Type="http://schemas.openxmlformats.org/officeDocument/2006/relationships/hyperlink" Target="https://www.flightaware.com/live/airport/EHRD" TargetMode="External"/><Relationship Id="rId80" Type="http://schemas.openxmlformats.org/officeDocument/2006/relationships/hyperlink" Target="https://www.flightaware.com/live/flight/PHLAB/history/20260317/1450Z/EHRD/EHRD" TargetMode="External"/><Relationship Id="rId85" Type="http://schemas.openxmlformats.org/officeDocument/2006/relationships/hyperlink" Target="https://www.flightaware.com/live/airport/EHRD" TargetMode="External"/><Relationship Id="rId12" Type="http://schemas.openxmlformats.org/officeDocument/2006/relationships/hyperlink" Target="https://www.flightaware.com/live/flight/PHLAB/history/20260325/1318Z/EHRD/EBOS" TargetMode="External"/><Relationship Id="rId17" Type="http://schemas.openxmlformats.org/officeDocument/2006/relationships/hyperlink" Target="https://www.flightaware.com/live/airport/EHRD" TargetMode="External"/><Relationship Id="rId33" Type="http://schemas.openxmlformats.org/officeDocument/2006/relationships/hyperlink" Target="https://www.flightaware.com/live/flight/PHLAB/history/20260323/1253Z/EHRD/EHRD" TargetMode="External"/><Relationship Id="rId38" Type="http://schemas.openxmlformats.org/officeDocument/2006/relationships/hyperlink" Target="https://www.flightaware.com/live/airport/EHRD" TargetMode="External"/><Relationship Id="rId59" Type="http://schemas.openxmlformats.org/officeDocument/2006/relationships/hyperlink" Target="https://www.flightaware.com/live/airport/EHRD" TargetMode="External"/><Relationship Id="rId103" Type="http://schemas.openxmlformats.org/officeDocument/2006/relationships/hyperlink" Target="https://www.flightaware.com/live/airport/EHRD" TargetMode="External"/><Relationship Id="rId108" Type="http://schemas.openxmlformats.org/officeDocument/2006/relationships/hyperlink" Target="https://www.flightaware.com/live/airport/EHRD" TargetMode="External"/><Relationship Id="rId124" Type="http://schemas.openxmlformats.org/officeDocument/2006/relationships/hyperlink" Target="https://www.flightaware.com/live/airport/EHRD" TargetMode="External"/><Relationship Id="rId129" Type="http://schemas.openxmlformats.org/officeDocument/2006/relationships/hyperlink" Target="https://www.libertyjet.com/jet-ownership-costs.aspx?jetType=CE-550" TargetMode="External"/><Relationship Id="rId54" Type="http://schemas.openxmlformats.org/officeDocument/2006/relationships/hyperlink" Target="https://www.flightaware.com/live/flight/PHLAB/history/20260319/1438Z/EHRD/EHRD" TargetMode="External"/><Relationship Id="rId70" Type="http://schemas.openxmlformats.org/officeDocument/2006/relationships/hyperlink" Target="https://www.flightaware.com/live/airport/EHRD" TargetMode="External"/><Relationship Id="rId75" Type="http://schemas.openxmlformats.org/officeDocument/2006/relationships/hyperlink" Target="https://www.flightaware.com/live/airport/EHRD" TargetMode="External"/><Relationship Id="rId91" Type="http://schemas.openxmlformats.org/officeDocument/2006/relationships/hyperlink" Target="https://www.flightaware.com/live/airport/EHRD" TargetMode="External"/><Relationship Id="rId96" Type="http://schemas.openxmlformats.org/officeDocument/2006/relationships/hyperlink" Target="https://www.flightaware.com/live/airport/EHRD" TargetMode="External"/><Relationship Id="rId1" Type="http://schemas.openxmlformats.org/officeDocument/2006/relationships/hyperlink" Target="https://www.businessresearchinsights.com/market-reports/aeronautical-tester-market-105709" TargetMode="External"/><Relationship Id="rId6" Type="http://schemas.openxmlformats.org/officeDocument/2006/relationships/hyperlink" Target="https://www.flightaware.com/live/flight/PHLAB/history/20260417/0721Z/EHRD/LIMF" TargetMode="External"/><Relationship Id="rId23" Type="http://schemas.openxmlformats.org/officeDocument/2006/relationships/hyperlink" Target="https://www.flightaware.com/live/airport/EHRD" TargetMode="External"/><Relationship Id="rId28" Type="http://schemas.openxmlformats.org/officeDocument/2006/relationships/hyperlink" Target="https://www.flightaware.com/live/airport/EHRD" TargetMode="External"/><Relationship Id="rId49" Type="http://schemas.openxmlformats.org/officeDocument/2006/relationships/hyperlink" Target="https://www.flightaware.com/live/airport/EHRD" TargetMode="External"/><Relationship Id="rId114" Type="http://schemas.openxmlformats.org/officeDocument/2006/relationships/hyperlink" Target="https://www.flightaware.com/live/airport/EHRD" TargetMode="External"/><Relationship Id="rId119" Type="http://schemas.openxmlformats.org/officeDocument/2006/relationships/hyperlink" Target="https://www.flightaware.com/live/flight/PHLAB/history/20260312/0844Z/EHRD/EHRD" TargetMode="External"/><Relationship Id="rId44" Type="http://schemas.openxmlformats.org/officeDocument/2006/relationships/hyperlink" Target="https://www.flightaware.com/live/airport/EHRD" TargetMode="External"/><Relationship Id="rId60" Type="http://schemas.openxmlformats.org/officeDocument/2006/relationships/hyperlink" Target="https://www.flightaware.com/live/flight/PHLAB/history/20260319/1025Z/EHRD/EHRD" TargetMode="External"/><Relationship Id="rId65" Type="http://schemas.openxmlformats.org/officeDocument/2006/relationships/hyperlink" Target="https://www.flightaware.com/live/airport/EHRD" TargetMode="External"/><Relationship Id="rId81" Type="http://schemas.openxmlformats.org/officeDocument/2006/relationships/hyperlink" Target="https://www.flightaware.com/live/airport/EHRD" TargetMode="External"/><Relationship Id="rId86" Type="http://schemas.openxmlformats.org/officeDocument/2006/relationships/hyperlink" Target="https://www.flightaware.com/live/flight/PHLAB/history/20260316/1508Z/EHRD/EHRD" TargetMode="External"/><Relationship Id="rId130" Type="http://schemas.openxmlformats.org/officeDocument/2006/relationships/hyperlink" Target="https://www.prophecymarketinsights.com/market_insight/europe-wind-tunnel-market-5840" TargetMode="External"/><Relationship Id="rId13" Type="http://schemas.openxmlformats.org/officeDocument/2006/relationships/hyperlink" Target="https://www.flightaware.com/live/airport/EHRD" TargetMode="External"/><Relationship Id="rId18" Type="http://schemas.openxmlformats.org/officeDocument/2006/relationships/hyperlink" Target="https://www.flightaware.com/live/flight/PHLAB/history/20260324/1446Z/EHRD/EHRD" TargetMode="External"/><Relationship Id="rId39" Type="http://schemas.openxmlformats.org/officeDocument/2006/relationships/hyperlink" Target="https://www.flightaware.com/live/flight/PHLAB/history/20260323/0837Z/EHRD/EHRD" TargetMode="External"/><Relationship Id="rId109" Type="http://schemas.openxmlformats.org/officeDocument/2006/relationships/hyperlink" Target="https://www.flightaware.com/live/airport/EHRD" TargetMode="External"/><Relationship Id="rId34" Type="http://schemas.openxmlformats.org/officeDocument/2006/relationships/hyperlink" Target="https://www.flightaware.com/live/airport/EHRD" TargetMode="External"/><Relationship Id="rId50" Type="http://schemas.openxmlformats.org/officeDocument/2006/relationships/hyperlink" Target="https://www.flightaware.com/live/airport/EHRD" TargetMode="External"/><Relationship Id="rId55" Type="http://schemas.openxmlformats.org/officeDocument/2006/relationships/hyperlink" Target="https://www.flightaware.com/live/airport/EHRD" TargetMode="External"/><Relationship Id="rId76" Type="http://schemas.openxmlformats.org/officeDocument/2006/relationships/hyperlink" Target="https://www.flightaware.com/live/airport/EHRD" TargetMode="External"/><Relationship Id="rId97" Type="http://schemas.openxmlformats.org/officeDocument/2006/relationships/hyperlink" Target="https://www.flightaware.com/live/airport/EHRD" TargetMode="External"/><Relationship Id="rId104" Type="http://schemas.openxmlformats.org/officeDocument/2006/relationships/hyperlink" Target="https://www.flightaware.com/live/flight/PHLAB/history/20260313/1032Z/EHRD/EHRD" TargetMode="External"/><Relationship Id="rId120" Type="http://schemas.openxmlformats.org/officeDocument/2006/relationships/hyperlink" Target="https://www.flightaware.com/live/airport/EHRD" TargetMode="External"/><Relationship Id="rId125" Type="http://schemas.openxmlformats.org/officeDocument/2006/relationships/hyperlink" Target="https://www.flightaware.com/live/flight/PHLAB/history/20260311/1300Z/EHRD/EHRD" TargetMode="External"/><Relationship Id="rId7" Type="http://schemas.openxmlformats.org/officeDocument/2006/relationships/hyperlink" Target="https://www.flightaware.com/live/airport/EHRD" TargetMode="External"/><Relationship Id="rId71" Type="http://schemas.openxmlformats.org/officeDocument/2006/relationships/hyperlink" Target="https://www.flightaware.com/live/airport/EHRD" TargetMode="External"/><Relationship Id="rId92" Type="http://schemas.openxmlformats.org/officeDocument/2006/relationships/hyperlink" Target="https://www.flightaware.com/live/flight/PHLAB/history/20260316/1025Z/EHRD/EHRD" TargetMode="External"/><Relationship Id="rId2" Type="http://schemas.openxmlformats.org/officeDocument/2006/relationships/hyperlink" Target="https://www.iata.org/en/iata-repository/publications/economic-reports/the-value-of-air-transport-to-the-netherlands/" TargetMode="External"/><Relationship Id="rId29" Type="http://schemas.openxmlformats.org/officeDocument/2006/relationships/hyperlink" Target="https://www.flightaware.com/live/airport/EHRD" TargetMode="External"/><Relationship Id="rId24" Type="http://schemas.openxmlformats.org/officeDocument/2006/relationships/hyperlink" Target="https://www.flightaware.com/live/flight/PHLAB/history/20260324/1042Z/EHRD/EHRD" TargetMode="External"/><Relationship Id="rId40" Type="http://schemas.openxmlformats.org/officeDocument/2006/relationships/hyperlink" Target="https://www.flightaware.com/live/airport/EHRD" TargetMode="External"/><Relationship Id="rId45" Type="http://schemas.openxmlformats.org/officeDocument/2006/relationships/hyperlink" Target="https://www.flightaware.com/live/flight/PHLAB/history/20260320/1254Z/EHRD/EHRD" TargetMode="External"/><Relationship Id="rId66" Type="http://schemas.openxmlformats.org/officeDocument/2006/relationships/hyperlink" Target="https://www.flightaware.com/live/flight/PHLAB/history/20260318/1451Z/EHRD/EHRD" TargetMode="External"/><Relationship Id="rId87" Type="http://schemas.openxmlformats.org/officeDocument/2006/relationships/hyperlink" Target="https://www.flightaware.com/live/airport/EHRD" TargetMode="External"/><Relationship Id="rId110" Type="http://schemas.openxmlformats.org/officeDocument/2006/relationships/hyperlink" Target="https://www.flightaware.com/live/flight/PHLAB/history/20260312/1434Z/EHRD/EHRD" TargetMode="External"/><Relationship Id="rId115" Type="http://schemas.openxmlformats.org/officeDocument/2006/relationships/hyperlink" Target="https://www.flightaware.com/live/airport/EHRD" TargetMode="External"/><Relationship Id="rId61" Type="http://schemas.openxmlformats.org/officeDocument/2006/relationships/hyperlink" Target="https://www.flightaware.com/live/airport/EHRD" TargetMode="External"/><Relationship Id="rId82" Type="http://schemas.openxmlformats.org/officeDocument/2006/relationships/hyperlink" Target="https://www.flightaware.com/live/airport/EHRD" TargetMode="External"/><Relationship Id="rId19" Type="http://schemas.openxmlformats.org/officeDocument/2006/relationships/hyperlink" Target="https://www.flightaware.com/live/airport/EHRD" TargetMode="External"/><Relationship Id="rId14" Type="http://schemas.openxmlformats.org/officeDocument/2006/relationships/hyperlink" Target="https://www.flightaware.com/live/airport/EBOS" TargetMode="External"/><Relationship Id="rId30" Type="http://schemas.openxmlformats.org/officeDocument/2006/relationships/hyperlink" Target="https://www.flightaware.com/live/flight/PHLAB/history/20260323/1439Z/EHRD/EHRD" TargetMode="External"/><Relationship Id="rId35" Type="http://schemas.openxmlformats.org/officeDocument/2006/relationships/hyperlink" Target="https://www.flightaware.com/live/airport/EHRD" TargetMode="External"/><Relationship Id="rId56" Type="http://schemas.openxmlformats.org/officeDocument/2006/relationships/hyperlink" Target="https://www.flightaware.com/live/airport/EHRD" TargetMode="External"/><Relationship Id="rId77" Type="http://schemas.openxmlformats.org/officeDocument/2006/relationships/hyperlink" Target="https://www.flightaware.com/live/flight/PHLAB/history/20260317/1559Z/EHRD/EHRD" TargetMode="External"/><Relationship Id="rId100" Type="http://schemas.openxmlformats.org/officeDocument/2006/relationships/hyperlink" Target="https://www.flightaware.com/live/airport/EHRD" TargetMode="External"/><Relationship Id="rId105" Type="http://schemas.openxmlformats.org/officeDocument/2006/relationships/hyperlink" Target="https://www.flightaware.com/live/airport/EHRD" TargetMode="External"/><Relationship Id="rId126" Type="http://schemas.openxmlformats.org/officeDocument/2006/relationships/hyperlink" Target="https://www.flightaware.com/live/airport/EHRD" TargetMode="External"/><Relationship Id="rId8" Type="http://schemas.openxmlformats.org/officeDocument/2006/relationships/hyperlink" Target="https://www.flightaware.com/live/airport/LIMF" TargetMode="External"/><Relationship Id="rId51" Type="http://schemas.openxmlformats.org/officeDocument/2006/relationships/hyperlink" Target="https://www.flightaware.com/live/flight/PHLAB/history/20260320/0836Z/EHRD/EHRD" TargetMode="External"/><Relationship Id="rId72" Type="http://schemas.openxmlformats.org/officeDocument/2006/relationships/hyperlink" Target="https://www.flightaware.com/live/flight/PHLAB/history/20260318/1016Z" TargetMode="External"/><Relationship Id="rId93" Type="http://schemas.openxmlformats.org/officeDocument/2006/relationships/hyperlink" Target="https://www.flightaware.com/live/airport/EHRD" TargetMode="External"/><Relationship Id="rId98" Type="http://schemas.openxmlformats.org/officeDocument/2006/relationships/hyperlink" Target="https://www.flightaware.com/live/flight/PHLAB/history/20260313/1444Z/EHRD/EHRD" TargetMode="External"/><Relationship Id="rId121" Type="http://schemas.openxmlformats.org/officeDocument/2006/relationships/hyperlink" Target="https://www.flightaware.com/live/airport/EHRD" TargetMode="External"/><Relationship Id="rId3" Type="http://schemas.openxmlformats.org/officeDocument/2006/relationships/hyperlink" Target="https://www.flightaware.com/live/flight/PHLAB/history/20260417/1300Z/LIMF/EHRD" TargetMode="External"/><Relationship Id="rId25" Type="http://schemas.openxmlformats.org/officeDocument/2006/relationships/hyperlink" Target="https://www.flightaware.com/live/airport/EHRD" TargetMode="External"/><Relationship Id="rId46" Type="http://schemas.openxmlformats.org/officeDocument/2006/relationships/hyperlink" Target="https://www.flightaware.com/live/airport/EHRD" TargetMode="External"/><Relationship Id="rId67" Type="http://schemas.openxmlformats.org/officeDocument/2006/relationships/hyperlink" Target="https://www.flightaware.com/live/airport/EHRD" TargetMode="External"/><Relationship Id="rId116" Type="http://schemas.openxmlformats.org/officeDocument/2006/relationships/hyperlink" Target="https://www.flightaware.com/live/flight/PHLAB/history/20260312/1030Z/EHRD/EHRD" TargetMode="External"/><Relationship Id="rId20" Type="http://schemas.openxmlformats.org/officeDocument/2006/relationships/hyperlink" Target="https://www.flightaware.com/live/airport/EHRD" TargetMode="External"/><Relationship Id="rId41" Type="http://schemas.openxmlformats.org/officeDocument/2006/relationships/hyperlink" Target="https://www.flightaware.com/live/airport/EHRD" TargetMode="External"/><Relationship Id="rId62" Type="http://schemas.openxmlformats.org/officeDocument/2006/relationships/hyperlink" Target="https://www.flightaware.com/live/airport/EHRD" TargetMode="External"/><Relationship Id="rId83" Type="http://schemas.openxmlformats.org/officeDocument/2006/relationships/hyperlink" Target="https://www.flightaware.com/live/flight/PHLAB/history/20260317/1300Z/EHRD/EHRD" TargetMode="External"/><Relationship Id="rId88" Type="http://schemas.openxmlformats.org/officeDocument/2006/relationships/hyperlink" Target="https://www.flightaware.com/live/airport/EHRD" TargetMode="External"/><Relationship Id="rId111" Type="http://schemas.openxmlformats.org/officeDocument/2006/relationships/hyperlink" Target="https://www.flightaware.com/live/airport/EHRD" TargetMode="External"/><Relationship Id="rId15" Type="http://schemas.openxmlformats.org/officeDocument/2006/relationships/hyperlink" Target="https://www.flightaware.com/live/flight/PHLAB/history/20260325/0828Z/EHRD/EHRD" TargetMode="External"/><Relationship Id="rId36" Type="http://schemas.openxmlformats.org/officeDocument/2006/relationships/hyperlink" Target="https://www.flightaware.com/live/flight/PHLAB/history/20260323/1022Z/EHRD/EHRD" TargetMode="External"/><Relationship Id="rId57" Type="http://schemas.openxmlformats.org/officeDocument/2006/relationships/hyperlink" Target="https://www.flightaware.com/live/flight/PHLAB/history/20260319/1255Z/EHRD/EHRD" TargetMode="External"/><Relationship Id="rId106" Type="http://schemas.openxmlformats.org/officeDocument/2006/relationships/hyperlink" Target="https://www.flightaware.com/live/airport/EHRD" TargetMode="External"/><Relationship Id="rId127" Type="http://schemas.openxmlformats.org/officeDocument/2006/relationships/hyperlink" Target="https://www.flightaware.com/live/airport/EHRD" TargetMode="External"/><Relationship Id="rId10" Type="http://schemas.openxmlformats.org/officeDocument/2006/relationships/hyperlink" Target="https://www.flightaware.com/live/airport/EBOS" TargetMode="External"/><Relationship Id="rId31" Type="http://schemas.openxmlformats.org/officeDocument/2006/relationships/hyperlink" Target="https://www.flightaware.com/live/airport/EHRD" TargetMode="External"/><Relationship Id="rId52" Type="http://schemas.openxmlformats.org/officeDocument/2006/relationships/hyperlink" Target="https://www.flightaware.com/live/airport/EHRD" TargetMode="External"/><Relationship Id="rId73" Type="http://schemas.openxmlformats.org/officeDocument/2006/relationships/hyperlink" Target="https://www.flightaware.com/live/airport/EHRD" TargetMode="External"/><Relationship Id="rId78" Type="http://schemas.openxmlformats.org/officeDocument/2006/relationships/hyperlink" Target="https://www.flightaware.com/live/airport/EHRD" TargetMode="External"/><Relationship Id="rId94" Type="http://schemas.openxmlformats.org/officeDocument/2006/relationships/hyperlink" Target="https://www.flightaware.com/live/airport/EHRD" TargetMode="External"/><Relationship Id="rId99" Type="http://schemas.openxmlformats.org/officeDocument/2006/relationships/hyperlink" Target="https://www.flightaware.com/live/airport/EHRD" TargetMode="External"/><Relationship Id="rId101" Type="http://schemas.openxmlformats.org/officeDocument/2006/relationships/hyperlink" Target="https://www.flightaware.com/live/flight/PHLAB/history/20260313/1255Z/EHRD/EHRD" TargetMode="External"/><Relationship Id="rId122" Type="http://schemas.openxmlformats.org/officeDocument/2006/relationships/hyperlink" Target="https://www.flightaware.com/live/flight/PHLAB/history/20260311/1441Z/EHRD/EHRD" TargetMode="External"/><Relationship Id="rId4" Type="http://schemas.openxmlformats.org/officeDocument/2006/relationships/hyperlink" Target="https://www.flightaware.com/live/airport/LIMF" TargetMode="External"/><Relationship Id="rId9" Type="http://schemas.openxmlformats.org/officeDocument/2006/relationships/hyperlink" Target="https://www.flightaware.com/live/flight/PHLAB/history/20260325/1436Z/EBOS/EHRD" TargetMode="External"/><Relationship Id="rId26" Type="http://schemas.openxmlformats.org/officeDocument/2006/relationships/hyperlink" Target="https://www.flightaware.com/live/airport/EHRD"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F1C02-9046-44B7-A04B-F6381578022A}">
  <dimension ref="A1:P128"/>
  <sheetViews>
    <sheetView tabSelected="1" topLeftCell="H1" zoomScaleNormal="100" workbookViewId="0">
      <selection activeCell="H50" sqref="H50"/>
    </sheetView>
  </sheetViews>
  <sheetFormatPr defaultRowHeight="15.6"/>
  <cols>
    <col min="1" max="1" width="38.75" customWidth="1"/>
    <col min="2" max="2" width="31.5" customWidth="1"/>
    <col min="3" max="3" width="17.75" customWidth="1"/>
    <col min="6" max="6" width="17.125" customWidth="1"/>
    <col min="7" max="7" width="38.625" customWidth="1"/>
    <col min="8" max="8" width="22" customWidth="1"/>
    <col min="9" max="9" width="44.75" customWidth="1"/>
    <col min="10" max="10" width="56.75" customWidth="1"/>
    <col min="11" max="11" width="61.375" customWidth="1"/>
    <col min="12" max="12" width="38.875" customWidth="1"/>
    <col min="13" max="13" width="16.375" customWidth="1"/>
  </cols>
  <sheetData>
    <row r="1" spans="1:10">
      <c r="H1" s="7"/>
      <c r="I1" s="8" t="s">
        <v>0</v>
      </c>
      <c r="J1" s="8" t="s">
        <v>1</v>
      </c>
    </row>
    <row r="2" spans="1:10" ht="46.9">
      <c r="A2" t="s">
        <v>2</v>
      </c>
      <c r="H2" s="8" t="s">
        <v>3</v>
      </c>
      <c r="I2" s="7" t="s">
        <v>4</v>
      </c>
      <c r="J2" s="38" t="s">
        <v>5</v>
      </c>
    </row>
    <row r="3" spans="1:10">
      <c r="A3" t="s">
        <v>6</v>
      </c>
      <c r="H3" s="8" t="s">
        <v>7</v>
      </c>
      <c r="I3" s="7"/>
      <c r="J3" s="7"/>
    </row>
    <row r="4" spans="1:10">
      <c r="A4" t="s">
        <v>8</v>
      </c>
      <c r="H4" s="8" t="s">
        <v>9</v>
      </c>
      <c r="I4" s="7"/>
      <c r="J4" s="7"/>
    </row>
    <row r="5" spans="1:10">
      <c r="H5" s="7"/>
      <c r="I5" s="7"/>
      <c r="J5" s="7"/>
    </row>
    <row r="6" spans="1:10" ht="46.9">
      <c r="H6" s="8" t="s">
        <v>10</v>
      </c>
      <c r="I6" s="7" t="s">
        <v>11</v>
      </c>
      <c r="J6" s="38" t="s">
        <v>12</v>
      </c>
    </row>
    <row r="7" spans="1:10">
      <c r="B7" s="6" t="s">
        <v>13</v>
      </c>
      <c r="C7" s="6" t="s">
        <v>14</v>
      </c>
      <c r="H7" s="7"/>
      <c r="I7" s="7"/>
      <c r="J7" s="7"/>
    </row>
    <row r="8" spans="1:10" ht="46.9" customHeight="1">
      <c r="A8" s="6" t="s">
        <v>15</v>
      </c>
      <c r="H8" s="61" t="s">
        <v>16</v>
      </c>
      <c r="I8" s="61"/>
      <c r="J8" s="61"/>
    </row>
    <row r="9" spans="1:10">
      <c r="B9" t="s">
        <v>17</v>
      </c>
      <c r="C9">
        <v>0</v>
      </c>
      <c r="H9" s="7" t="s">
        <v>18</v>
      </c>
      <c r="I9" s="7" t="s">
        <v>19</v>
      </c>
      <c r="J9" s="7" t="s">
        <v>1</v>
      </c>
    </row>
    <row r="10" spans="1:10" ht="31.15">
      <c r="B10" t="s">
        <v>20</v>
      </c>
      <c r="C10">
        <v>10000</v>
      </c>
      <c r="H10" s="7" t="s">
        <v>21</v>
      </c>
      <c r="I10" s="7">
        <v>39.9</v>
      </c>
      <c r="J10" s="62" t="s">
        <v>22</v>
      </c>
    </row>
    <row r="11" spans="1:10" ht="46.9">
      <c r="H11" s="7" t="s">
        <v>23</v>
      </c>
      <c r="I11" s="7">
        <v>10.5</v>
      </c>
      <c r="J11" s="62"/>
    </row>
    <row r="12" spans="1:10">
      <c r="H12" s="7" t="s">
        <v>24</v>
      </c>
      <c r="I12" s="7">
        <v>7.1</v>
      </c>
      <c r="J12" s="62"/>
    </row>
    <row r="13" spans="1:10" ht="31.15">
      <c r="A13" s="6" t="s">
        <v>25</v>
      </c>
      <c r="H13" s="7" t="s">
        <v>26</v>
      </c>
      <c r="I13" s="7">
        <v>6.4</v>
      </c>
      <c r="J13" s="62"/>
    </row>
    <row r="14" spans="1:10">
      <c r="A14" t="s">
        <v>27</v>
      </c>
      <c r="B14" t="s">
        <v>28</v>
      </c>
      <c r="C14" t="s">
        <v>29</v>
      </c>
      <c r="H14" s="7" t="s">
        <v>30</v>
      </c>
      <c r="I14" s="7">
        <v>4.0999999999999996</v>
      </c>
      <c r="J14" s="62"/>
    </row>
    <row r="15" spans="1:10" ht="31.15">
      <c r="A15" t="s">
        <v>31</v>
      </c>
      <c r="B15" t="s">
        <v>32</v>
      </c>
      <c r="C15" t="s">
        <v>29</v>
      </c>
      <c r="H15" s="7" t="s">
        <v>33</v>
      </c>
      <c r="I15" s="7">
        <f>I10-(SUM(I11:I14))</f>
        <v>11.799999999999997</v>
      </c>
      <c r="J15" s="7"/>
    </row>
    <row r="16" spans="1:10">
      <c r="A16" t="s">
        <v>34</v>
      </c>
      <c r="B16" t="s">
        <v>35</v>
      </c>
      <c r="C16">
        <v>45000</v>
      </c>
      <c r="H16" s="7"/>
      <c r="I16" s="7"/>
      <c r="J16" s="7"/>
    </row>
    <row r="17" spans="1:11">
      <c r="A17" t="s">
        <v>34</v>
      </c>
      <c r="B17" t="s">
        <v>17</v>
      </c>
      <c r="C17">
        <v>0</v>
      </c>
      <c r="H17" s="61" t="s">
        <v>36</v>
      </c>
      <c r="I17" s="61"/>
      <c r="J17" s="61"/>
    </row>
    <row r="18" spans="1:11">
      <c r="H18" s="61" t="s">
        <v>16</v>
      </c>
      <c r="I18" s="61"/>
      <c r="J18" s="61"/>
    </row>
    <row r="19" spans="1:11">
      <c r="H19" s="8" t="s">
        <v>37</v>
      </c>
      <c r="I19" s="8" t="s">
        <v>38</v>
      </c>
      <c r="J19" s="6" t="s">
        <v>39</v>
      </c>
      <c r="K19" s="8" t="s">
        <v>1</v>
      </c>
    </row>
    <row r="20" spans="1:11" ht="93.6">
      <c r="H20" s="7" t="s">
        <v>40</v>
      </c>
      <c r="I20" s="7" t="s">
        <v>41</v>
      </c>
      <c r="J20" s="40" t="s">
        <v>42</v>
      </c>
      <c r="K20" s="37"/>
    </row>
    <row r="21" spans="1:11">
      <c r="H21" s="7" t="s">
        <v>43</v>
      </c>
      <c r="I21" s="7">
        <v>1.1000000000000001</v>
      </c>
      <c r="J21" s="48">
        <f>G128</f>
        <v>5752147.276778182</v>
      </c>
      <c r="K21" t="s">
        <v>44</v>
      </c>
    </row>
    <row r="22" spans="1:11" ht="62.45">
      <c r="A22" s="6" t="s">
        <v>45</v>
      </c>
      <c r="H22" s="7" t="s">
        <v>46</v>
      </c>
      <c r="I22" s="7">
        <v>50000000</v>
      </c>
      <c r="J22" s="38">
        <f>I22*2/3</f>
        <v>33333333.333333332</v>
      </c>
      <c r="K22" s="7" t="s">
        <v>47</v>
      </c>
    </row>
    <row r="23" spans="1:11">
      <c r="B23" t="s">
        <v>48</v>
      </c>
      <c r="H23" s="7"/>
      <c r="I23" s="7"/>
      <c r="J23" s="38"/>
    </row>
    <row r="24" spans="1:11">
      <c r="B24" t="s">
        <v>49</v>
      </c>
      <c r="H24" s="8" t="s">
        <v>7</v>
      </c>
      <c r="I24" s="49">
        <f>J22+J21+32000000</f>
        <v>71085480.610111505</v>
      </c>
      <c r="J24" s="38"/>
    </row>
    <row r="25" spans="1:11">
      <c r="B25" t="s">
        <v>50</v>
      </c>
      <c r="H25" s="7"/>
      <c r="I25" s="7"/>
      <c r="J25" s="7"/>
    </row>
    <row r="26" spans="1:11">
      <c r="B26" t="s">
        <v>51</v>
      </c>
      <c r="H26" s="6" t="s">
        <v>9</v>
      </c>
      <c r="I26" s="44">
        <f>I24*0.2</f>
        <v>14217096.122022301</v>
      </c>
    </row>
    <row r="27" spans="1:11">
      <c r="B27" t="s">
        <v>52</v>
      </c>
    </row>
    <row r="28" spans="1:11">
      <c r="B28" t="s">
        <v>53</v>
      </c>
    </row>
    <row r="29" spans="1:11">
      <c r="B29" t="s">
        <v>54</v>
      </c>
    </row>
    <row r="33" spans="6:11" ht="31.15">
      <c r="H33" s="6" t="s">
        <v>55</v>
      </c>
      <c r="I33" s="6" t="s">
        <v>56</v>
      </c>
      <c r="J33" s="6" t="s">
        <v>57</v>
      </c>
      <c r="K33" s="8" t="s">
        <v>58</v>
      </c>
    </row>
    <row r="34" spans="6:11" ht="15.6" customHeight="1">
      <c r="F34" s="59" t="s">
        <v>59</v>
      </c>
    </row>
    <row r="35" spans="6:11" ht="15.6" customHeight="1">
      <c r="F35" s="60"/>
      <c r="G35" s="60" t="s">
        <v>60</v>
      </c>
      <c r="H35" t="s">
        <v>61</v>
      </c>
      <c r="I35" s="39">
        <v>712284</v>
      </c>
      <c r="J35">
        <f>I35*1.44</f>
        <v>1025688.96</v>
      </c>
    </row>
    <row r="36" spans="6:11" ht="15.6" customHeight="1">
      <c r="F36" s="60"/>
      <c r="G36" s="60"/>
      <c r="H36" t="s">
        <v>62</v>
      </c>
      <c r="I36" s="39">
        <v>153841</v>
      </c>
      <c r="J36">
        <f>I36*1.44</f>
        <v>221531.03999999998</v>
      </c>
    </row>
    <row r="37" spans="6:11" ht="15.6" customHeight="1">
      <c r="F37" s="60"/>
      <c r="G37" s="60"/>
      <c r="H37" t="s">
        <v>63</v>
      </c>
      <c r="I37" s="39">
        <v>1695824</v>
      </c>
      <c r="J37">
        <f>I37*1.44</f>
        <v>2441986.56</v>
      </c>
    </row>
    <row r="38" spans="6:11" ht="15.6" customHeight="1">
      <c r="F38" s="60"/>
      <c r="G38" s="60"/>
      <c r="H38" t="s">
        <v>64</v>
      </c>
      <c r="I38" s="39">
        <v>923790</v>
      </c>
      <c r="J38">
        <f>I38*1.44</f>
        <v>1330257.5999999999</v>
      </c>
    </row>
    <row r="39" spans="6:11" ht="15.6" customHeight="1">
      <c r="F39" s="60"/>
    </row>
    <row r="40" spans="6:11" ht="15.6" customHeight="1">
      <c r="F40" s="60"/>
    </row>
    <row r="41" spans="6:11" ht="15.6" customHeight="1">
      <c r="F41" s="60"/>
      <c r="G41" s="60" t="s">
        <v>65</v>
      </c>
      <c r="H41" t="s">
        <v>66</v>
      </c>
      <c r="I41" s="39">
        <v>220054</v>
      </c>
      <c r="J41">
        <f>I41*1.44</f>
        <v>316877.76</v>
      </c>
    </row>
    <row r="42" spans="6:11" ht="15.6" customHeight="1">
      <c r="F42" s="60"/>
      <c r="G42" s="60"/>
      <c r="H42" t="s">
        <v>67</v>
      </c>
      <c r="I42" s="39">
        <v>57094</v>
      </c>
      <c r="J42">
        <f>I42*1.44</f>
        <v>82215.360000000001</v>
      </c>
    </row>
    <row r="43" spans="6:11" ht="15.6" customHeight="1">
      <c r="F43" s="60"/>
      <c r="G43" s="60"/>
      <c r="H43" t="s">
        <v>68</v>
      </c>
      <c r="I43" s="39">
        <v>563219</v>
      </c>
      <c r="J43">
        <f>I43*1.44</f>
        <v>811035.36</v>
      </c>
    </row>
    <row r="44" spans="6:11" ht="15.6" customHeight="1">
      <c r="F44" s="60"/>
      <c r="G44" s="60"/>
      <c r="H44" t="s">
        <v>69</v>
      </c>
      <c r="I44" s="39">
        <v>1168549</v>
      </c>
      <c r="J44">
        <f>I44*1.44</f>
        <v>1682710.5599999998</v>
      </c>
    </row>
    <row r="45" spans="6:11" ht="15.6" customHeight="1">
      <c r="F45" s="60"/>
    </row>
    <row r="46" spans="6:11" ht="15.6" customHeight="1">
      <c r="F46" s="60"/>
    </row>
    <row r="47" spans="6:11" ht="15.6" customHeight="1">
      <c r="F47" s="60"/>
    </row>
    <row r="48" spans="6:11" ht="15.6" customHeight="1">
      <c r="F48" s="60"/>
      <c r="G48" s="60" t="s">
        <v>70</v>
      </c>
      <c r="H48" t="s">
        <v>71</v>
      </c>
      <c r="I48" s="39">
        <v>326083</v>
      </c>
      <c r="J48">
        <f t="shared" ref="J48:J59" si="0">I48*1.44</f>
        <v>469559.51999999996</v>
      </c>
    </row>
    <row r="49" spans="6:11" ht="15.6" customHeight="1">
      <c r="F49" s="60"/>
      <c r="G49" s="60"/>
      <c r="H49" t="s">
        <v>72</v>
      </c>
      <c r="I49" s="39">
        <v>1139248</v>
      </c>
      <c r="J49">
        <f t="shared" si="0"/>
        <v>1640517.1199999999</v>
      </c>
    </row>
    <row r="50" spans="6:11" ht="15.6" customHeight="1">
      <c r="F50" s="60"/>
      <c r="G50" s="60"/>
      <c r="H50" t="s">
        <v>73</v>
      </c>
      <c r="I50" s="39">
        <v>51333</v>
      </c>
      <c r="J50">
        <f t="shared" si="0"/>
        <v>73919.520000000004</v>
      </c>
    </row>
    <row r="51" spans="6:11" ht="15.6" customHeight="1">
      <c r="F51" s="60"/>
      <c r="G51" s="60"/>
      <c r="H51" t="s">
        <v>74</v>
      </c>
      <c r="I51" s="39">
        <v>660528</v>
      </c>
      <c r="J51">
        <f t="shared" si="0"/>
        <v>951160.31999999995</v>
      </c>
    </row>
    <row r="52" spans="6:11" ht="15.6" customHeight="1">
      <c r="F52" s="60"/>
      <c r="G52" s="60"/>
      <c r="H52" t="s">
        <v>75</v>
      </c>
      <c r="I52" s="39">
        <v>1033338</v>
      </c>
      <c r="J52">
        <f t="shared" si="0"/>
        <v>1488006.72</v>
      </c>
    </row>
    <row r="53" spans="6:11" ht="15.6" customHeight="1">
      <c r="F53" s="60"/>
      <c r="G53" s="60"/>
      <c r="H53" t="s">
        <v>76</v>
      </c>
      <c r="I53" s="39">
        <v>82511</v>
      </c>
      <c r="J53">
        <f t="shared" si="0"/>
        <v>118815.84</v>
      </c>
    </row>
    <row r="54" spans="6:11" ht="15.6" customHeight="1">
      <c r="F54" s="60"/>
      <c r="G54" s="60"/>
      <c r="H54" t="s">
        <v>77</v>
      </c>
      <c r="I54" s="39">
        <v>82511</v>
      </c>
      <c r="J54">
        <f t="shared" si="0"/>
        <v>118815.84</v>
      </c>
    </row>
    <row r="55" spans="6:11" ht="15.6" customHeight="1">
      <c r="F55" s="60"/>
      <c r="G55" s="60"/>
      <c r="H55" t="s">
        <v>78</v>
      </c>
      <c r="I55" s="39">
        <v>388910</v>
      </c>
      <c r="J55">
        <f t="shared" si="0"/>
        <v>560030.4</v>
      </c>
    </row>
    <row r="56" spans="6:11" ht="15.6" customHeight="1">
      <c r="F56" s="60"/>
      <c r="G56" s="60"/>
      <c r="H56" t="s">
        <v>79</v>
      </c>
      <c r="I56" s="39">
        <v>122448</v>
      </c>
      <c r="J56">
        <f t="shared" si="0"/>
        <v>176325.12</v>
      </c>
    </row>
    <row r="57" spans="6:11" ht="15.6" customHeight="1">
      <c r="F57" s="60"/>
      <c r="G57" s="60"/>
      <c r="H57" t="s">
        <v>80</v>
      </c>
      <c r="I57" s="39">
        <v>23900</v>
      </c>
      <c r="J57">
        <f t="shared" si="0"/>
        <v>34416</v>
      </c>
    </row>
    <row r="58" spans="6:11" ht="15.6" customHeight="1">
      <c r="F58" s="60"/>
      <c r="G58" s="60"/>
      <c r="H58" t="s">
        <v>81</v>
      </c>
      <c r="I58" s="39">
        <v>46638</v>
      </c>
      <c r="J58">
        <f t="shared" si="0"/>
        <v>67158.720000000001</v>
      </c>
    </row>
    <row r="59" spans="6:11" ht="15.6" customHeight="1">
      <c r="F59" s="60"/>
      <c r="G59" s="60"/>
      <c r="H59" t="s">
        <v>82</v>
      </c>
      <c r="I59" s="39">
        <v>417571</v>
      </c>
      <c r="J59">
        <f t="shared" si="0"/>
        <v>601302.24</v>
      </c>
    </row>
    <row r="60" spans="6:11" ht="15.6" customHeight="1">
      <c r="F60" s="60"/>
    </row>
    <row r="61" spans="6:11" ht="15.6" customHeight="1">
      <c r="F61" s="60"/>
      <c r="G61" s="60" t="s">
        <v>70</v>
      </c>
      <c r="H61" t="s">
        <v>83</v>
      </c>
      <c r="I61" s="39">
        <v>122896</v>
      </c>
      <c r="J61">
        <f>I61*1.44</f>
        <v>176970.23999999999</v>
      </c>
    </row>
    <row r="62" spans="6:11" ht="15.6" customHeight="1">
      <c r="F62" s="60"/>
      <c r="G62" s="60"/>
      <c r="H62" t="s">
        <v>84</v>
      </c>
      <c r="I62" s="39">
        <v>13042</v>
      </c>
      <c r="J62">
        <f>I62*1.44</f>
        <v>18780.48</v>
      </c>
    </row>
    <row r="63" spans="6:11" ht="15.6" customHeight="1">
      <c r="F63" s="60"/>
      <c r="K63" s="6" t="s">
        <v>85</v>
      </c>
    </row>
    <row r="64" spans="6:11" ht="31.15">
      <c r="F64" s="60"/>
      <c r="I64" s="7" t="s">
        <v>86</v>
      </c>
      <c r="J64" s="7">
        <f>AVERAGE(J35:J62)</f>
        <v>654912.78545454552</v>
      </c>
      <c r="K64">
        <f>J64/(365*0.8)</f>
        <v>2242.8520049813201</v>
      </c>
    </row>
    <row r="65" spans="6:13" ht="31.15">
      <c r="I65" s="8" t="s">
        <v>87</v>
      </c>
      <c r="J65" s="8">
        <f>J64*9</f>
        <v>5894215.0690909093</v>
      </c>
    </row>
    <row r="66" spans="6:13">
      <c r="I66" s="7"/>
      <c r="J66" s="7"/>
    </row>
    <row r="67" spans="6:13">
      <c r="I67" s="7"/>
      <c r="J67" s="7"/>
    </row>
    <row r="68" spans="6:13">
      <c r="I68" s="7"/>
      <c r="J68" s="7"/>
    </row>
    <row r="69" spans="6:13">
      <c r="I69" s="7"/>
      <c r="J69" s="7"/>
    </row>
    <row r="73" spans="6:13">
      <c r="F73" s="6" t="s">
        <v>88</v>
      </c>
      <c r="G73" s="6" t="s">
        <v>89</v>
      </c>
      <c r="H73" s="6" t="s">
        <v>90</v>
      </c>
      <c r="I73" s="6" t="s">
        <v>91</v>
      </c>
      <c r="J73" s="6" t="s">
        <v>92</v>
      </c>
      <c r="K73" s="6" t="s">
        <v>93</v>
      </c>
      <c r="L73" s="6" t="s">
        <v>94</v>
      </c>
      <c r="M73" t="s">
        <v>95</v>
      </c>
    </row>
    <row r="74" spans="6:13">
      <c r="F74" s="41">
        <v>46129</v>
      </c>
      <c r="G74" t="s">
        <v>96</v>
      </c>
      <c r="H74" s="37" t="s">
        <v>97</v>
      </c>
      <c r="I74" s="37" t="s">
        <v>98</v>
      </c>
      <c r="J74" t="s">
        <v>99</v>
      </c>
      <c r="K74" t="s">
        <v>100</v>
      </c>
      <c r="L74" s="42">
        <v>7.4999999999999997E-2</v>
      </c>
      <c r="M74" s="43">
        <f>L74*1440</f>
        <v>108</v>
      </c>
    </row>
    <row r="75" spans="6:13">
      <c r="F75" s="41">
        <v>46129</v>
      </c>
      <c r="G75" t="s">
        <v>96</v>
      </c>
      <c r="H75" s="37" t="s">
        <v>98</v>
      </c>
      <c r="I75" s="37" t="s">
        <v>97</v>
      </c>
      <c r="J75" t="s">
        <v>101</v>
      </c>
      <c r="K75" t="s">
        <v>102</v>
      </c>
      <c r="L75" s="42">
        <v>0.13541666666666666</v>
      </c>
      <c r="M75" s="43">
        <f t="shared" ref="M75:M115" si="1">L75*1440</f>
        <v>195</v>
      </c>
    </row>
    <row r="76" spans="6:13">
      <c r="F76" s="41">
        <v>46106</v>
      </c>
      <c r="G76" t="s">
        <v>96</v>
      </c>
      <c r="H76" s="37" t="s">
        <v>103</v>
      </c>
      <c r="I76" s="37" t="s">
        <v>98</v>
      </c>
      <c r="J76" t="s">
        <v>104</v>
      </c>
      <c r="K76" t="s">
        <v>105</v>
      </c>
      <c r="L76" s="42">
        <v>3.9583333333333331E-2</v>
      </c>
      <c r="M76" s="43">
        <f t="shared" si="1"/>
        <v>57</v>
      </c>
    </row>
    <row r="77" spans="6:13">
      <c r="F77" s="41">
        <v>46106</v>
      </c>
      <c r="G77" t="s">
        <v>96</v>
      </c>
      <c r="H77" s="37" t="s">
        <v>98</v>
      </c>
      <c r="I77" s="37" t="s">
        <v>103</v>
      </c>
      <c r="J77" t="s">
        <v>106</v>
      </c>
      <c r="K77" t="s">
        <v>107</v>
      </c>
      <c r="L77" s="42">
        <v>3.5416666666666666E-2</v>
      </c>
      <c r="M77" s="43">
        <f t="shared" si="1"/>
        <v>51</v>
      </c>
    </row>
    <row r="78" spans="6:13">
      <c r="F78" s="41">
        <v>46106</v>
      </c>
      <c r="G78" t="s">
        <v>96</v>
      </c>
      <c r="H78" s="37" t="s">
        <v>98</v>
      </c>
      <c r="I78" s="37" t="s">
        <v>98</v>
      </c>
      <c r="J78" t="s">
        <v>108</v>
      </c>
      <c r="K78" t="s">
        <v>109</v>
      </c>
      <c r="L78" s="42">
        <v>5.7638888888888892E-2</v>
      </c>
      <c r="M78" s="43">
        <f t="shared" si="1"/>
        <v>83</v>
      </c>
    </row>
    <row r="79" spans="6:13">
      <c r="F79" s="41">
        <v>46105</v>
      </c>
      <c r="G79" t="s">
        <v>96</v>
      </c>
      <c r="H79" s="37" t="s">
        <v>98</v>
      </c>
      <c r="I79" s="37" t="s">
        <v>98</v>
      </c>
      <c r="J79" t="s">
        <v>110</v>
      </c>
      <c r="K79" t="s">
        <v>111</v>
      </c>
      <c r="L79" s="42">
        <v>5.0694444444444445E-2</v>
      </c>
      <c r="M79" s="43">
        <f t="shared" si="1"/>
        <v>73</v>
      </c>
    </row>
    <row r="80" spans="6:13">
      <c r="F80" s="41">
        <v>46105</v>
      </c>
      <c r="G80" t="s">
        <v>96</v>
      </c>
      <c r="H80" s="37" t="s">
        <v>98</v>
      </c>
      <c r="I80" s="37" t="s">
        <v>98</v>
      </c>
      <c r="J80" t="s">
        <v>112</v>
      </c>
      <c r="K80" t="s">
        <v>113</v>
      </c>
      <c r="L80" s="42">
        <v>5.2777777777777778E-2</v>
      </c>
      <c r="M80" s="43">
        <f t="shared" si="1"/>
        <v>76</v>
      </c>
    </row>
    <row r="81" spans="6:13">
      <c r="F81" s="41">
        <v>46105</v>
      </c>
      <c r="G81" t="s">
        <v>96</v>
      </c>
      <c r="H81" s="37" t="s">
        <v>98</v>
      </c>
      <c r="I81" s="37" t="s">
        <v>98</v>
      </c>
      <c r="J81" t="s">
        <v>114</v>
      </c>
      <c r="K81" t="s">
        <v>115</v>
      </c>
      <c r="L81" s="42">
        <v>4.791666666666667E-2</v>
      </c>
      <c r="M81" s="43">
        <f t="shared" si="1"/>
        <v>69</v>
      </c>
    </row>
    <row r="82" spans="6:13">
      <c r="F82" s="41">
        <v>46105</v>
      </c>
      <c r="G82" t="s">
        <v>96</v>
      </c>
      <c r="H82" s="37" t="s">
        <v>98</v>
      </c>
      <c r="I82" s="37" t="s">
        <v>98</v>
      </c>
      <c r="J82" t="s">
        <v>116</v>
      </c>
      <c r="K82" t="s">
        <v>117</v>
      </c>
      <c r="L82" s="42">
        <v>5.1388888888888887E-2</v>
      </c>
      <c r="M82" s="43">
        <f t="shared" si="1"/>
        <v>74</v>
      </c>
    </row>
    <row r="83" spans="6:13">
      <c r="F83" s="41">
        <v>46104</v>
      </c>
      <c r="G83" t="s">
        <v>96</v>
      </c>
      <c r="H83" s="37" t="s">
        <v>98</v>
      </c>
      <c r="I83" s="37" t="s">
        <v>98</v>
      </c>
      <c r="J83" t="s">
        <v>118</v>
      </c>
      <c r="K83" t="s">
        <v>119</v>
      </c>
      <c r="L83" s="42">
        <v>4.1666666666666664E-2</v>
      </c>
      <c r="M83" s="43">
        <f t="shared" si="1"/>
        <v>60</v>
      </c>
    </row>
    <row r="84" spans="6:13">
      <c r="F84" s="41">
        <v>46104</v>
      </c>
      <c r="G84" t="s">
        <v>96</v>
      </c>
      <c r="H84" s="37" t="s">
        <v>98</v>
      </c>
      <c r="I84" s="37" t="s">
        <v>98</v>
      </c>
      <c r="J84" t="s">
        <v>120</v>
      </c>
      <c r="K84" t="s">
        <v>121</v>
      </c>
      <c r="L84" s="42">
        <v>4.5138888888888888E-2</v>
      </c>
      <c r="M84" s="43">
        <f t="shared" si="1"/>
        <v>65</v>
      </c>
    </row>
    <row r="85" spans="6:13">
      <c r="F85" s="41">
        <v>46104</v>
      </c>
      <c r="G85" t="s">
        <v>96</v>
      </c>
      <c r="H85" s="37" t="s">
        <v>98</v>
      </c>
      <c r="I85" s="37" t="s">
        <v>98</v>
      </c>
      <c r="J85" t="s">
        <v>122</v>
      </c>
      <c r="K85" t="s">
        <v>123</v>
      </c>
      <c r="L85" s="42">
        <v>4.3055555555555555E-2</v>
      </c>
      <c r="M85" s="43">
        <f t="shared" si="1"/>
        <v>62</v>
      </c>
    </row>
    <row r="86" spans="6:13">
      <c r="F86" s="41">
        <v>46104</v>
      </c>
      <c r="G86" t="s">
        <v>96</v>
      </c>
      <c r="H86" s="37" t="s">
        <v>98</v>
      </c>
      <c r="I86" s="37" t="s">
        <v>98</v>
      </c>
      <c r="J86" t="s">
        <v>124</v>
      </c>
      <c r="K86" t="s">
        <v>125</v>
      </c>
      <c r="L86" s="42">
        <v>4.6527777777777779E-2</v>
      </c>
      <c r="M86" s="43">
        <f t="shared" si="1"/>
        <v>67</v>
      </c>
    </row>
    <row r="87" spans="6:13">
      <c r="F87" s="41">
        <v>46101</v>
      </c>
      <c r="G87" t="s">
        <v>96</v>
      </c>
      <c r="H87" s="37" t="s">
        <v>98</v>
      </c>
      <c r="I87" s="37" t="s">
        <v>98</v>
      </c>
      <c r="J87" t="s">
        <v>118</v>
      </c>
      <c r="K87" t="s">
        <v>126</v>
      </c>
      <c r="L87" s="42">
        <v>4.7222222222222221E-2</v>
      </c>
      <c r="M87" s="43">
        <f t="shared" si="1"/>
        <v>68</v>
      </c>
    </row>
    <row r="88" spans="6:13">
      <c r="F88" s="41">
        <v>46101</v>
      </c>
      <c r="G88" t="s">
        <v>96</v>
      </c>
      <c r="H88" s="37" t="s">
        <v>98</v>
      </c>
      <c r="I88" s="37" t="s">
        <v>98</v>
      </c>
      <c r="J88" t="s">
        <v>127</v>
      </c>
      <c r="K88" t="s">
        <v>128</v>
      </c>
      <c r="L88" s="42">
        <v>4.5138888888888888E-2</v>
      </c>
      <c r="M88" s="43">
        <f t="shared" si="1"/>
        <v>65</v>
      </c>
    </row>
    <row r="89" spans="6:13">
      <c r="F89" s="41">
        <v>46101</v>
      </c>
      <c r="G89" t="s">
        <v>96</v>
      </c>
      <c r="H89" s="37" t="s">
        <v>98</v>
      </c>
      <c r="I89" s="37" t="s">
        <v>98</v>
      </c>
      <c r="J89" t="s">
        <v>129</v>
      </c>
      <c r="K89" t="s">
        <v>130</v>
      </c>
      <c r="L89" s="42">
        <v>3.9583333333333331E-2</v>
      </c>
      <c r="M89" s="43">
        <f t="shared" si="1"/>
        <v>57</v>
      </c>
    </row>
    <row r="90" spans="6:13">
      <c r="F90" s="41">
        <v>46101</v>
      </c>
      <c r="G90" t="s">
        <v>96</v>
      </c>
      <c r="H90" s="37" t="s">
        <v>98</v>
      </c>
      <c r="I90" s="37" t="s">
        <v>98</v>
      </c>
      <c r="J90" t="s">
        <v>131</v>
      </c>
      <c r="K90" t="s">
        <v>132</v>
      </c>
      <c r="L90" s="42">
        <v>3.9583333333333331E-2</v>
      </c>
      <c r="M90" s="43">
        <f t="shared" si="1"/>
        <v>57</v>
      </c>
    </row>
    <row r="91" spans="6:13">
      <c r="F91" s="41">
        <v>46100</v>
      </c>
      <c r="G91" t="s">
        <v>96</v>
      </c>
      <c r="H91" s="37" t="s">
        <v>98</v>
      </c>
      <c r="I91" s="37" t="s">
        <v>98</v>
      </c>
      <c r="J91" t="s">
        <v>133</v>
      </c>
      <c r="K91" t="s">
        <v>134</v>
      </c>
      <c r="L91" s="42">
        <v>3.9583333333333331E-2</v>
      </c>
      <c r="M91" s="43">
        <f t="shared" si="1"/>
        <v>57</v>
      </c>
    </row>
    <row r="92" spans="6:13">
      <c r="F92" s="41">
        <v>46100</v>
      </c>
      <c r="G92" t="s">
        <v>96</v>
      </c>
      <c r="H92" s="37" t="s">
        <v>98</v>
      </c>
      <c r="I92" s="37" t="s">
        <v>98</v>
      </c>
      <c r="J92" t="s">
        <v>127</v>
      </c>
      <c r="K92" t="s">
        <v>135</v>
      </c>
      <c r="L92" s="42">
        <v>4.3055555555555555E-2</v>
      </c>
      <c r="M92" s="43">
        <f t="shared" si="1"/>
        <v>62</v>
      </c>
    </row>
    <row r="93" spans="6:13">
      <c r="F93" s="41">
        <v>46100</v>
      </c>
      <c r="G93" t="s">
        <v>96</v>
      </c>
      <c r="H93" s="37" t="s">
        <v>98</v>
      </c>
      <c r="I93" s="37" t="s">
        <v>98</v>
      </c>
      <c r="J93" t="s">
        <v>136</v>
      </c>
      <c r="K93" t="s">
        <v>137</v>
      </c>
      <c r="L93" s="42">
        <v>4.5138888888888888E-2</v>
      </c>
      <c r="M93" s="43">
        <f t="shared" si="1"/>
        <v>65</v>
      </c>
    </row>
    <row r="94" spans="6:13">
      <c r="F94" s="41">
        <v>46100</v>
      </c>
      <c r="G94" t="s">
        <v>96</v>
      </c>
      <c r="H94" s="37" t="s">
        <v>98</v>
      </c>
      <c r="I94" s="37" t="s">
        <v>98</v>
      </c>
      <c r="J94" t="s">
        <v>138</v>
      </c>
      <c r="K94" t="s">
        <v>139</v>
      </c>
      <c r="L94" s="42">
        <v>4.583333333333333E-2</v>
      </c>
      <c r="M94" s="43">
        <f t="shared" si="1"/>
        <v>66</v>
      </c>
    </row>
    <row r="95" spans="6:13">
      <c r="F95" s="41">
        <v>46099</v>
      </c>
      <c r="G95" t="s">
        <v>96</v>
      </c>
      <c r="H95" s="37" t="s">
        <v>98</v>
      </c>
      <c r="I95" s="37" t="s">
        <v>98</v>
      </c>
      <c r="J95" t="s">
        <v>140</v>
      </c>
      <c r="K95" t="s">
        <v>141</v>
      </c>
      <c r="L95" s="42">
        <v>4.5138888888888888E-2</v>
      </c>
      <c r="M95" s="43">
        <f t="shared" si="1"/>
        <v>65</v>
      </c>
    </row>
    <row r="96" spans="6:13">
      <c r="F96" s="41">
        <v>46099</v>
      </c>
      <c r="G96" t="s">
        <v>96</v>
      </c>
      <c r="H96" s="37" t="s">
        <v>98</v>
      </c>
      <c r="I96" s="37" t="s">
        <v>98</v>
      </c>
      <c r="J96" t="s">
        <v>142</v>
      </c>
      <c r="K96" t="s">
        <v>113</v>
      </c>
      <c r="L96" s="42">
        <v>5.0694444444444445E-2</v>
      </c>
      <c r="M96" s="43">
        <f t="shared" si="1"/>
        <v>73</v>
      </c>
    </row>
    <row r="97" spans="6:13">
      <c r="F97" s="41">
        <v>46099</v>
      </c>
      <c r="G97" t="s">
        <v>96</v>
      </c>
      <c r="H97" t="s">
        <v>143</v>
      </c>
      <c r="I97" s="37" t="s">
        <v>98</v>
      </c>
      <c r="J97" t="s">
        <v>144</v>
      </c>
      <c r="K97" t="s">
        <v>145</v>
      </c>
      <c r="L97" s="42">
        <v>4.3055555555555555E-2</v>
      </c>
      <c r="M97" s="43">
        <f t="shared" si="1"/>
        <v>62</v>
      </c>
    </row>
    <row r="98" spans="6:13">
      <c r="F98" s="41">
        <v>46099</v>
      </c>
      <c r="G98" t="s">
        <v>96</v>
      </c>
      <c r="H98" s="37" t="s">
        <v>98</v>
      </c>
      <c r="I98" s="37" t="s">
        <v>98</v>
      </c>
      <c r="J98" t="s">
        <v>146</v>
      </c>
      <c r="K98" t="s">
        <v>147</v>
      </c>
      <c r="L98" s="42">
        <v>4.3749999999999997E-2</v>
      </c>
      <c r="M98" s="43">
        <f t="shared" si="1"/>
        <v>62.999999999999993</v>
      </c>
    </row>
    <row r="99" spans="6:13">
      <c r="F99" s="41">
        <v>46098</v>
      </c>
      <c r="G99" t="s">
        <v>96</v>
      </c>
      <c r="H99" s="37" t="s">
        <v>98</v>
      </c>
      <c r="I99" s="37" t="s">
        <v>98</v>
      </c>
      <c r="J99" t="s">
        <v>148</v>
      </c>
      <c r="K99" t="s">
        <v>149</v>
      </c>
      <c r="L99" s="42">
        <v>3.9583333333333331E-2</v>
      </c>
      <c r="M99" s="43">
        <f t="shared" si="1"/>
        <v>57</v>
      </c>
    </row>
    <row r="100" spans="6:13">
      <c r="F100" s="41">
        <v>46098</v>
      </c>
      <c r="G100" t="s">
        <v>96</v>
      </c>
      <c r="H100" s="37" t="s">
        <v>98</v>
      </c>
      <c r="I100" s="37" t="s">
        <v>98</v>
      </c>
      <c r="J100" t="s">
        <v>110</v>
      </c>
      <c r="K100" t="s">
        <v>150</v>
      </c>
      <c r="L100" s="42">
        <v>2.0833333333333332E-2</v>
      </c>
      <c r="M100" s="43">
        <f t="shared" si="1"/>
        <v>30</v>
      </c>
    </row>
    <row r="101" spans="6:13">
      <c r="F101" s="41">
        <v>46098</v>
      </c>
      <c r="G101" t="s">
        <v>96</v>
      </c>
      <c r="H101" s="37" t="s">
        <v>98</v>
      </c>
      <c r="I101" s="37" t="s">
        <v>98</v>
      </c>
      <c r="J101" t="s">
        <v>142</v>
      </c>
      <c r="K101" t="s">
        <v>151</v>
      </c>
      <c r="L101" s="42">
        <v>4.7222222222222221E-2</v>
      </c>
      <c r="M101" s="43">
        <f t="shared" si="1"/>
        <v>68</v>
      </c>
    </row>
    <row r="102" spans="6:13">
      <c r="F102" s="41">
        <v>46097</v>
      </c>
      <c r="G102" t="s">
        <v>96</v>
      </c>
      <c r="H102" s="37" t="s">
        <v>98</v>
      </c>
      <c r="I102" s="37" t="s">
        <v>98</v>
      </c>
      <c r="J102" t="s">
        <v>152</v>
      </c>
      <c r="K102" t="s">
        <v>153</v>
      </c>
      <c r="L102" s="42">
        <v>4.5138888888888888E-2</v>
      </c>
      <c r="M102" s="43">
        <f t="shared" si="1"/>
        <v>65</v>
      </c>
    </row>
    <row r="103" spans="6:13">
      <c r="F103" s="41">
        <v>46097</v>
      </c>
      <c r="G103" t="s">
        <v>96</v>
      </c>
      <c r="H103" s="37" t="s">
        <v>98</v>
      </c>
      <c r="I103" s="37" t="s">
        <v>98</v>
      </c>
      <c r="J103" t="s">
        <v>154</v>
      </c>
      <c r="K103" t="s">
        <v>151</v>
      </c>
      <c r="L103" s="42">
        <v>4.4444444444444446E-2</v>
      </c>
      <c r="M103" s="43">
        <f t="shared" si="1"/>
        <v>64</v>
      </c>
    </row>
    <row r="104" spans="6:13">
      <c r="F104" s="41">
        <v>46097</v>
      </c>
      <c r="G104" t="s">
        <v>96</v>
      </c>
      <c r="H104" s="37" t="s">
        <v>98</v>
      </c>
      <c r="I104" s="37" t="s">
        <v>98</v>
      </c>
      <c r="J104" t="s">
        <v>155</v>
      </c>
      <c r="K104" t="s">
        <v>156</v>
      </c>
      <c r="L104" s="42">
        <v>4.3055555555555555E-2</v>
      </c>
      <c r="M104" s="43">
        <f t="shared" si="1"/>
        <v>62</v>
      </c>
    </row>
    <row r="105" spans="6:13">
      <c r="F105" s="41">
        <v>46097</v>
      </c>
      <c r="G105" t="s">
        <v>96</v>
      </c>
      <c r="H105" s="37" t="s">
        <v>98</v>
      </c>
      <c r="I105" s="37" t="s">
        <v>98</v>
      </c>
      <c r="J105" t="s">
        <v>157</v>
      </c>
      <c r="K105" t="s">
        <v>147</v>
      </c>
      <c r="L105" s="42">
        <v>4.1666666666666664E-2</v>
      </c>
      <c r="M105" s="43">
        <f t="shared" si="1"/>
        <v>60</v>
      </c>
    </row>
    <row r="106" spans="6:13">
      <c r="F106" s="41">
        <v>46094</v>
      </c>
      <c r="G106" t="s">
        <v>96</v>
      </c>
      <c r="H106" s="37" t="s">
        <v>98</v>
      </c>
      <c r="I106" s="37" t="s">
        <v>98</v>
      </c>
      <c r="J106" t="s">
        <v>158</v>
      </c>
      <c r="K106" t="s">
        <v>141</v>
      </c>
      <c r="L106" s="42">
        <v>4.9305555555555554E-2</v>
      </c>
      <c r="M106" s="43">
        <f t="shared" si="1"/>
        <v>71</v>
      </c>
    </row>
    <row r="107" spans="6:13">
      <c r="F107" s="41">
        <v>46094</v>
      </c>
      <c r="G107" t="s">
        <v>96</v>
      </c>
      <c r="H107" s="37" t="s">
        <v>98</v>
      </c>
      <c r="I107" s="37" t="s">
        <v>98</v>
      </c>
      <c r="J107" t="s">
        <v>112</v>
      </c>
      <c r="K107" t="s">
        <v>159</v>
      </c>
      <c r="L107" s="42">
        <v>4.9305555555555554E-2</v>
      </c>
      <c r="M107" s="43">
        <f t="shared" si="1"/>
        <v>71</v>
      </c>
    </row>
    <row r="108" spans="6:13">
      <c r="F108" s="41">
        <v>46094</v>
      </c>
      <c r="G108" t="s">
        <v>96</v>
      </c>
      <c r="H108" s="37" t="s">
        <v>98</v>
      </c>
      <c r="I108" s="37" t="s">
        <v>98</v>
      </c>
      <c r="J108" t="s">
        <v>160</v>
      </c>
      <c r="K108" t="s">
        <v>161</v>
      </c>
      <c r="L108" s="42">
        <v>4.9305555555555554E-2</v>
      </c>
      <c r="M108" s="43">
        <f t="shared" si="1"/>
        <v>71</v>
      </c>
    </row>
    <row r="109" spans="6:13">
      <c r="F109" s="41">
        <v>46094</v>
      </c>
      <c r="G109" t="s">
        <v>96</v>
      </c>
      <c r="H109" s="37" t="s">
        <v>98</v>
      </c>
      <c r="I109" s="37" t="s">
        <v>98</v>
      </c>
      <c r="J109" t="s">
        <v>162</v>
      </c>
      <c r="K109" t="s">
        <v>163</v>
      </c>
      <c r="L109" s="42">
        <v>5.2083333333333336E-2</v>
      </c>
      <c r="M109" s="43">
        <f t="shared" si="1"/>
        <v>75</v>
      </c>
    </row>
    <row r="110" spans="6:13">
      <c r="F110" s="41">
        <v>46093</v>
      </c>
      <c r="G110" t="s">
        <v>96</v>
      </c>
      <c r="H110" s="37" t="s">
        <v>98</v>
      </c>
      <c r="I110" s="37" t="s">
        <v>98</v>
      </c>
      <c r="J110" t="s">
        <v>164</v>
      </c>
      <c r="K110" t="s">
        <v>119</v>
      </c>
      <c r="L110" s="42">
        <v>4.6527777777777779E-2</v>
      </c>
      <c r="M110" s="43">
        <f t="shared" si="1"/>
        <v>67</v>
      </c>
    </row>
    <row r="111" spans="6:13">
      <c r="F111" s="41">
        <v>46093</v>
      </c>
      <c r="G111" t="s">
        <v>96</v>
      </c>
      <c r="H111" s="37" t="s">
        <v>98</v>
      </c>
      <c r="I111" s="37" t="s">
        <v>98</v>
      </c>
      <c r="J111" t="s">
        <v>165</v>
      </c>
      <c r="K111" t="s">
        <v>166</v>
      </c>
      <c r="L111" s="42">
        <v>4.791666666666667E-2</v>
      </c>
      <c r="M111" s="43">
        <f t="shared" si="1"/>
        <v>69</v>
      </c>
    </row>
    <row r="112" spans="6:13">
      <c r="F112" s="41">
        <v>46093</v>
      </c>
      <c r="G112" t="s">
        <v>96</v>
      </c>
      <c r="H112" s="37" t="s">
        <v>98</v>
      </c>
      <c r="I112" s="37" t="s">
        <v>98</v>
      </c>
      <c r="J112" t="s">
        <v>167</v>
      </c>
      <c r="K112" t="s">
        <v>156</v>
      </c>
      <c r="L112" s="42">
        <v>4.1666666666666664E-2</v>
      </c>
      <c r="M112" s="43">
        <f t="shared" si="1"/>
        <v>60</v>
      </c>
    </row>
    <row r="113" spans="6:16">
      <c r="F113" s="41">
        <v>46093</v>
      </c>
      <c r="G113" t="s">
        <v>96</v>
      </c>
      <c r="H113" s="37" t="s">
        <v>98</v>
      </c>
      <c r="I113" s="37" t="s">
        <v>98</v>
      </c>
      <c r="J113" t="s">
        <v>168</v>
      </c>
      <c r="K113" t="s">
        <v>169</v>
      </c>
      <c r="L113" s="42">
        <v>4.9305555555555554E-2</v>
      </c>
      <c r="M113" s="43">
        <f t="shared" si="1"/>
        <v>71</v>
      </c>
    </row>
    <row r="114" spans="6:16">
      <c r="F114" s="41">
        <v>46092</v>
      </c>
      <c r="G114" t="s">
        <v>96</v>
      </c>
      <c r="H114" s="37" t="s">
        <v>98</v>
      </c>
      <c r="I114" s="37" t="s">
        <v>98</v>
      </c>
      <c r="J114" t="s">
        <v>170</v>
      </c>
      <c r="K114" t="s">
        <v>171</v>
      </c>
      <c r="L114" s="42">
        <v>4.583333333333333E-2</v>
      </c>
      <c r="M114" s="43">
        <f t="shared" si="1"/>
        <v>66</v>
      </c>
    </row>
    <row r="115" spans="6:16">
      <c r="F115" s="41">
        <v>46092</v>
      </c>
      <c r="G115" t="s">
        <v>96</v>
      </c>
      <c r="H115" s="37" t="s">
        <v>98</v>
      </c>
      <c r="I115" s="37" t="s">
        <v>98</v>
      </c>
      <c r="J115" t="s">
        <v>172</v>
      </c>
      <c r="K115" t="s">
        <v>173</v>
      </c>
      <c r="L115" s="42">
        <v>4.9305555555555554E-2</v>
      </c>
      <c r="M115" s="43">
        <f t="shared" si="1"/>
        <v>71</v>
      </c>
    </row>
    <row r="117" spans="6:16">
      <c r="L117" t="s">
        <v>174</v>
      </c>
      <c r="M117" s="43">
        <f>SUM(M74:M115)</f>
        <v>2898</v>
      </c>
    </row>
    <row r="118" spans="6:16">
      <c r="L118" t="s">
        <v>175</v>
      </c>
      <c r="M118">
        <f>M117*4</f>
        <v>11592</v>
      </c>
      <c r="P118" s="37" t="s">
        <v>176</v>
      </c>
    </row>
    <row r="119" spans="6:16">
      <c r="L119" t="s">
        <v>177</v>
      </c>
      <c r="M119">
        <f>M118/60</f>
        <v>193.2</v>
      </c>
    </row>
    <row r="120" spans="6:16">
      <c r="L120" t="s">
        <v>178</v>
      </c>
      <c r="M120" s="39">
        <v>822286</v>
      </c>
    </row>
    <row r="121" spans="6:16">
      <c r="L121" t="s">
        <v>179</v>
      </c>
      <c r="M121">
        <f>M120/200</f>
        <v>4111.43</v>
      </c>
      <c r="P121" s="37" t="s">
        <v>180</v>
      </c>
    </row>
    <row r="122" spans="6:16">
      <c r="L122" t="s">
        <v>181</v>
      </c>
      <c r="M122" s="39">
        <v>1329010</v>
      </c>
    </row>
    <row r="123" spans="6:16">
      <c r="L123" t="s">
        <v>179</v>
      </c>
      <c r="M123">
        <f>M122/400</f>
        <v>3322.5250000000001</v>
      </c>
    </row>
    <row r="124" spans="6:16">
      <c r="L124" t="s">
        <v>182</v>
      </c>
      <c r="M124">
        <f>M121*M119</f>
        <v>794328.27599999995</v>
      </c>
    </row>
    <row r="127" spans="6:16" ht="62.45">
      <c r="F127" s="7" t="s">
        <v>183</v>
      </c>
      <c r="G127" s="45">
        <f>M124+J65</f>
        <v>6688543.3450909089</v>
      </c>
    </row>
    <row r="128" spans="6:16" ht="46.9">
      <c r="F128" s="46" t="s">
        <v>184</v>
      </c>
      <c r="G128" s="47">
        <f>G127*0.86</f>
        <v>5752147.276778182</v>
      </c>
    </row>
  </sheetData>
  <mergeCells count="9">
    <mergeCell ref="F34:F64"/>
    <mergeCell ref="G41:G44"/>
    <mergeCell ref="G48:G59"/>
    <mergeCell ref="G61:G62"/>
    <mergeCell ref="H8:J8"/>
    <mergeCell ref="J10:J14"/>
    <mergeCell ref="H18:J18"/>
    <mergeCell ref="H17:J17"/>
    <mergeCell ref="G35:G38"/>
  </mergeCells>
  <hyperlinks>
    <hyperlink ref="J2" r:id="rId1" xr:uid="{B6BA9DD7-BEAC-4D0B-B480-51AFB7E50C3E}"/>
    <hyperlink ref="J10:J14" r:id="rId2" display="https://www.iata.org/en/iata-repository/publications/economic-reports/the-value-of-air-transport-to-the-netherlands/" xr:uid="{290ABDF2-F3DB-4B7B-81DF-BDBA351C0302}"/>
    <hyperlink ref="F74" r:id="rId3" display="17-Apr-26" xr:uid="{C4C5CCAA-C0A3-42CD-996C-63C1EFF65B4E}"/>
    <hyperlink ref="H74" r:id="rId4" xr:uid="{4866F973-784E-4B04-AF78-CFE13B8FC1FE}"/>
    <hyperlink ref="I74" r:id="rId5" xr:uid="{72C79F01-F85A-41FC-B850-3E74231DF82D}"/>
    <hyperlink ref="F75" r:id="rId6" display="17-Apr-26" xr:uid="{9FA6132B-DF02-441A-A32B-93E640CE4034}"/>
    <hyperlink ref="H75" r:id="rId7" xr:uid="{F1493FFC-9501-4494-A24F-00647106DEDE}"/>
    <hyperlink ref="I75" r:id="rId8" xr:uid="{8C76AD9C-EB8A-4CB4-87E7-80F15E233FA2}"/>
    <hyperlink ref="F76" r:id="rId9" display="25-Mar-26" xr:uid="{52EC1096-D544-4BAB-A34C-7E5E212359A9}"/>
    <hyperlink ref="H76" r:id="rId10" xr:uid="{69419ED9-9DCE-4996-AC90-AC3D82D7B618}"/>
    <hyperlink ref="I76" r:id="rId11" xr:uid="{A08A18B4-F842-49C7-A419-45D982CCBA51}"/>
    <hyperlink ref="F77" r:id="rId12" display="25-Mar-26" xr:uid="{C5DA1122-EEB6-4878-AD58-4D0B56FF0E68}"/>
    <hyperlink ref="H77" r:id="rId13" xr:uid="{DAD405BF-77EB-42D5-9CDC-AE3D5ADE1E99}"/>
    <hyperlink ref="I77" r:id="rId14" xr:uid="{2533F338-7966-4D44-9743-00C96B4574B8}"/>
    <hyperlink ref="F78" r:id="rId15" display="25-Mar-26" xr:uid="{D34A44FD-DE16-46F3-853E-6982B3FD258E}"/>
    <hyperlink ref="H78" r:id="rId16" xr:uid="{B9883213-E8F6-4679-AC20-167590D10ABA}"/>
    <hyperlink ref="I78" r:id="rId17" xr:uid="{16025CE3-8910-4E34-BA5A-383CD3CA3810}"/>
    <hyperlink ref="F79" r:id="rId18" display="24-Mar-26" xr:uid="{6398FCF3-A594-487E-BC86-7121296B19DF}"/>
    <hyperlink ref="H79" r:id="rId19" xr:uid="{7CA93438-EE7B-43E7-9154-D084D8F69DA4}"/>
    <hyperlink ref="I79" r:id="rId20" xr:uid="{1F0F7A23-CE22-45D3-8740-C3AA07BFA04D}"/>
    <hyperlink ref="F80" r:id="rId21" display="24-Mar-26" xr:uid="{1A807554-46D2-4299-8C42-6FC2F52B1587}"/>
    <hyperlink ref="H80" r:id="rId22" xr:uid="{E585F198-7BB3-4308-841A-EA995D7B80E2}"/>
    <hyperlink ref="I80" r:id="rId23" xr:uid="{1A923B6F-1206-452B-A8B4-3EBCFD0248A4}"/>
    <hyperlink ref="F81" r:id="rId24" display="24-Mar-26" xr:uid="{8168411B-F5CD-43AA-B3C2-A09DC23EC3BA}"/>
    <hyperlink ref="H81" r:id="rId25" xr:uid="{233901A4-1C41-4707-90A3-9F889E4C53CE}"/>
    <hyperlink ref="I81" r:id="rId26" xr:uid="{D1FD71EF-4954-4F0F-ACD6-C0FDC6D47EAA}"/>
    <hyperlink ref="F82" r:id="rId27" display="24-Mar-26" xr:uid="{40B4A98B-C87D-46A9-B69E-1666A5CF0984}"/>
    <hyperlink ref="H82" r:id="rId28" xr:uid="{3768514B-A66B-4215-AC2E-A7A8362265C8}"/>
    <hyperlink ref="I82" r:id="rId29" xr:uid="{813F5F48-0B3E-4F04-AE5E-808F95E9D57F}"/>
    <hyperlink ref="F83" r:id="rId30" display="23-Mar-26" xr:uid="{53F148B6-4FE8-49CF-B746-9ADFA5C7DEB9}"/>
    <hyperlink ref="H83" r:id="rId31" xr:uid="{9983D82C-A015-44FB-9C9A-66AE0873BA08}"/>
    <hyperlink ref="I83" r:id="rId32" xr:uid="{FA478C4E-D0F8-4A86-BD40-C00CE596136F}"/>
    <hyperlink ref="F84" r:id="rId33" display="23-Mar-26" xr:uid="{6D73BDEC-F343-49BB-964E-DDAEFC9796EB}"/>
    <hyperlink ref="H84" r:id="rId34" xr:uid="{1F155E3F-F349-48E1-B620-3A1BE9B30735}"/>
    <hyperlink ref="I84" r:id="rId35" xr:uid="{3FEEEEE1-D07B-4194-A2B8-58105B30EB1B}"/>
    <hyperlink ref="F85" r:id="rId36" display="23-Mar-26" xr:uid="{962F0081-2D40-47F8-A584-47C3DADF192C}"/>
    <hyperlink ref="H85" r:id="rId37" xr:uid="{471B8CD5-0B79-45AD-ABB6-2B2A9ADE2A24}"/>
    <hyperlink ref="I85" r:id="rId38" xr:uid="{4D70A36A-E159-4496-8810-B2A1B04AFA70}"/>
    <hyperlink ref="F86" r:id="rId39" display="23-Mar-26" xr:uid="{A210E8A7-3D90-4918-9EDB-2CC838B6D5B5}"/>
    <hyperlink ref="H86" r:id="rId40" xr:uid="{AD0BD14C-9FD0-4064-942D-23B2E4F31A6C}"/>
    <hyperlink ref="I86" r:id="rId41" xr:uid="{50F8B093-A95E-4DDF-8EF7-F54C13CB724F}"/>
    <hyperlink ref="F87" r:id="rId42" display="20-Mar-26" xr:uid="{5B52DAD0-B696-4393-8E92-8C047441D66A}"/>
    <hyperlink ref="H87" r:id="rId43" xr:uid="{4FBC0591-75E0-4A6B-AD87-0F7DA72FB206}"/>
    <hyperlink ref="I87" r:id="rId44" xr:uid="{3B407090-71D6-427E-8553-F59231C3F01F}"/>
    <hyperlink ref="F88" r:id="rId45" display="20-Mar-26" xr:uid="{EBF7C276-5ECA-470C-A52F-FA72933B6E91}"/>
    <hyperlink ref="H88" r:id="rId46" xr:uid="{50BF25E1-BCA1-45B1-A19E-606DEF983899}"/>
    <hyperlink ref="I88" r:id="rId47" xr:uid="{4A5400D4-498F-4B08-B0EB-8DC99642EC4A}"/>
    <hyperlink ref="F89" r:id="rId48" display="20-Mar-26" xr:uid="{4BAFCD69-C33B-408A-A184-E8D8FEF244BD}"/>
    <hyperlink ref="H89" r:id="rId49" xr:uid="{D2AC3875-8120-45CD-9C25-3098D7B3E1CB}"/>
    <hyperlink ref="I89" r:id="rId50" xr:uid="{AD74ECA6-086B-4B3C-B144-966A1E6E5639}"/>
    <hyperlink ref="F90" r:id="rId51" display="20-Mar-26" xr:uid="{F3B6A369-B4A3-4162-B97E-E3E2A3E014F3}"/>
    <hyperlink ref="H90" r:id="rId52" xr:uid="{F63474C3-0AAB-40F3-B8BE-031A9EB5BA19}"/>
    <hyperlink ref="I90" r:id="rId53" xr:uid="{BA0C9D50-0B57-4224-A8B2-28E1828E396D}"/>
    <hyperlink ref="F91" r:id="rId54" display="19-Mar-26" xr:uid="{9587923B-F29D-4D07-8CC7-A24A17DA4611}"/>
    <hyperlink ref="H91" r:id="rId55" xr:uid="{BA7E50FA-07AD-4A5B-B0AD-704EDD2432DF}"/>
    <hyperlink ref="I91" r:id="rId56" xr:uid="{B605A260-4557-4F9F-9F29-D30326F9C77C}"/>
    <hyperlink ref="F92" r:id="rId57" display="19-Mar-26" xr:uid="{6150580F-29F5-4C70-9443-C0A66627D67D}"/>
    <hyperlink ref="H92" r:id="rId58" xr:uid="{0A49EA83-6083-47FA-B858-87D985FD2563}"/>
    <hyperlink ref="I92" r:id="rId59" xr:uid="{8D45E808-FBB8-42D2-876A-7C0BCA9058A1}"/>
    <hyperlink ref="F93" r:id="rId60" display="19-Mar-26" xr:uid="{5FE8235F-4C25-4B7C-BB5F-A121BD5CE92B}"/>
    <hyperlink ref="H93" r:id="rId61" xr:uid="{8B3D7689-0B23-4CB6-8667-B339946B8A63}"/>
    <hyperlink ref="I93" r:id="rId62" xr:uid="{4CD26ED8-7C87-4F15-86AF-3520CAE06F9F}"/>
    <hyperlink ref="F94" r:id="rId63" display="19-Mar-26" xr:uid="{D0826D6B-C03E-4EDC-89B2-486D66AF998D}"/>
    <hyperlink ref="H94" r:id="rId64" xr:uid="{63B90252-1183-4BC8-9AD4-EFE217451DF2}"/>
    <hyperlink ref="I94" r:id="rId65" xr:uid="{34F40B09-C031-4972-9BDE-A15E03BBE3CC}"/>
    <hyperlink ref="F95" r:id="rId66" display="18-Mar-26" xr:uid="{791E51E2-E158-4F36-A14E-56A0A163EE27}"/>
    <hyperlink ref="H95" r:id="rId67" xr:uid="{66D3E5D3-5885-43AB-B532-91FB83336A96}"/>
    <hyperlink ref="I95" r:id="rId68" xr:uid="{F59144B3-DD7B-4B98-921E-2AA1A00AB9F7}"/>
    <hyperlink ref="F96" r:id="rId69" display="18-Mar-26" xr:uid="{A6D41252-2182-4028-923F-3BDCC09BC85F}"/>
    <hyperlink ref="H96" r:id="rId70" xr:uid="{2CA54CC5-C9D7-4ECC-B245-C4C6C767CCCD}"/>
    <hyperlink ref="I96" r:id="rId71" xr:uid="{F114FE4F-492B-4C54-B4F9-3B59617166A7}"/>
    <hyperlink ref="F97" r:id="rId72" display="18-Mar-26" xr:uid="{C0242479-B662-45DD-8AB6-0F013A2ED418}"/>
    <hyperlink ref="I97" r:id="rId73" xr:uid="{DB7D0681-77F1-4CA7-9CE7-494D48D866F4}"/>
    <hyperlink ref="F98" r:id="rId74" display="18-Mar-26" xr:uid="{D108618A-7D90-4A35-8AD0-4846C6DD88E5}"/>
    <hyperlink ref="H98" r:id="rId75" xr:uid="{8AFBC584-B8D5-47D2-958A-21F8B237E000}"/>
    <hyperlink ref="I98" r:id="rId76" xr:uid="{E347A85E-436C-4F3B-AAB5-9E6AADF3F21D}"/>
    <hyperlink ref="F99" r:id="rId77" display="17-Mar-26" xr:uid="{376357A5-FEE9-4ADB-BB05-584025F43849}"/>
    <hyperlink ref="H99" r:id="rId78" xr:uid="{8A4199BE-2D0F-40F3-A833-1A9627AF95F3}"/>
    <hyperlink ref="I99" r:id="rId79" xr:uid="{3F86EA87-703E-4454-BDB1-A65CE2C00FF1}"/>
    <hyperlink ref="F100" r:id="rId80" display="17-Mar-26" xr:uid="{CD800B1C-F06C-47D0-94AA-4816181465AE}"/>
    <hyperlink ref="H100" r:id="rId81" xr:uid="{B9891F2E-B15B-409C-A837-2404FC3FAECE}"/>
    <hyperlink ref="I100" r:id="rId82" xr:uid="{5159EF67-F283-44F1-B0A3-31F446D9D3FD}"/>
    <hyperlink ref="F101" r:id="rId83" display="17-Mar-26" xr:uid="{9E868BA8-F0DE-4FB3-A87F-EE8D7E061247}"/>
    <hyperlink ref="H101" r:id="rId84" xr:uid="{05D829B2-B57D-4744-87B7-872048C1194B}"/>
    <hyperlink ref="I101" r:id="rId85" xr:uid="{B940051B-2D2B-4D6A-ACEA-783A11D61F37}"/>
    <hyperlink ref="F102" r:id="rId86" display="16-Mar-26" xr:uid="{DC14207E-85C6-4056-87BD-6911B203D9DC}"/>
    <hyperlink ref="H102" r:id="rId87" xr:uid="{7C4C0490-6F26-4BFF-A5A5-FEFBA82CB8C6}"/>
    <hyperlink ref="I102" r:id="rId88" xr:uid="{E1E6F48C-886A-48C2-9E24-FC04F98E5C86}"/>
    <hyperlink ref="F103" r:id="rId89" display="16-Mar-26" xr:uid="{68ADAF3E-E1BC-4FD6-8388-90451E846178}"/>
    <hyperlink ref="H103" r:id="rId90" xr:uid="{E7EA5D01-8377-46BE-9835-66581A521F2B}"/>
    <hyperlink ref="I103" r:id="rId91" xr:uid="{8383969E-F3EB-401E-9958-95A12057CBE2}"/>
    <hyperlink ref="F104" r:id="rId92" display="16-Mar-26" xr:uid="{CF4C855F-931B-4CFE-9F75-D864ABB3558E}"/>
    <hyperlink ref="H104" r:id="rId93" xr:uid="{F8BCB308-5389-497A-B52F-CB1B31805EDD}"/>
    <hyperlink ref="I104" r:id="rId94" xr:uid="{758E1B8C-49E3-4CF5-AE58-9A27100BCBE8}"/>
    <hyperlink ref="F105" r:id="rId95" display="16-Mar-26" xr:uid="{2690651F-3A1B-4118-85A6-74499031BD45}"/>
    <hyperlink ref="H105" r:id="rId96" xr:uid="{A5641F76-B330-4D43-B9B4-6D614A4EA3A5}"/>
    <hyperlink ref="I105" r:id="rId97" xr:uid="{4350E677-83D0-479F-9AFC-83ACCDEF87DE}"/>
    <hyperlink ref="F106" r:id="rId98" display="13-Mar-26" xr:uid="{0157EDFA-8E73-4461-89F5-B2F5777CB187}"/>
    <hyperlink ref="H106" r:id="rId99" xr:uid="{A2144BA3-B12A-43F9-880C-B3DF8FFD4A09}"/>
    <hyperlink ref="I106" r:id="rId100" xr:uid="{3B215CFA-03D4-40B3-85E6-E114CD0162CB}"/>
    <hyperlink ref="F107" r:id="rId101" display="13-Mar-26" xr:uid="{98C07FCB-9216-496A-9849-F180F20D2D6D}"/>
    <hyperlink ref="H107" r:id="rId102" xr:uid="{578D0DC1-EAB5-466E-9C76-FAF0C38736F7}"/>
    <hyperlink ref="I107" r:id="rId103" xr:uid="{51DD6450-0A1B-4DE9-B075-4410DD5139AE}"/>
    <hyperlink ref="F108" r:id="rId104" display="13-Mar-26" xr:uid="{66EC384A-E9A3-42AC-98CC-3202D3467387}"/>
    <hyperlink ref="H108" r:id="rId105" xr:uid="{F9D25F0A-6E90-4F27-BA4F-9DD2108BA2D2}"/>
    <hyperlink ref="I108" r:id="rId106" xr:uid="{AA35C8D5-BFAD-4E5C-94E3-E82F7D4CF680}"/>
    <hyperlink ref="F109" r:id="rId107" display="13-Mar-26" xr:uid="{FE5AF392-81E8-482C-9BC4-44C629347352}"/>
    <hyperlink ref="H109" r:id="rId108" xr:uid="{518059D2-01E8-4E42-BA57-D74A03D41592}"/>
    <hyperlink ref="I109" r:id="rId109" xr:uid="{205097B4-148C-4329-B37E-F083FB280868}"/>
    <hyperlink ref="F110" r:id="rId110" display="12-Mar-26" xr:uid="{55A5BD27-AD19-4564-BA73-25BBAE80B00A}"/>
    <hyperlink ref="H110" r:id="rId111" xr:uid="{BE1B2883-A1FA-4765-8055-2E7C65852603}"/>
    <hyperlink ref="I110" r:id="rId112" xr:uid="{41F3F04C-6D85-464C-867C-668C44224066}"/>
    <hyperlink ref="F111" r:id="rId113" display="12-Mar-26" xr:uid="{050E6D09-ED47-41B4-85F1-9B08E591E332}"/>
    <hyperlink ref="H111" r:id="rId114" xr:uid="{D0A68443-3A5C-4767-8F69-E757D3904828}"/>
    <hyperlink ref="I111" r:id="rId115" xr:uid="{5614269D-652A-46DC-A432-92F4DA188E5D}"/>
    <hyperlink ref="F112" r:id="rId116" display="12-Mar-26" xr:uid="{078EAA64-A484-4E17-9930-90C93906B9AF}"/>
    <hyperlink ref="H112" r:id="rId117" xr:uid="{F1E6F4E1-8447-4716-91FA-9D79D8DD2514}"/>
    <hyperlink ref="I112" r:id="rId118" xr:uid="{70926C57-12A1-452A-AC45-A7E85681799B}"/>
    <hyperlink ref="F113" r:id="rId119" display="12-Mar-26" xr:uid="{89F48F21-DCCC-4FFC-B909-5FF9FCFC852A}"/>
    <hyperlink ref="H113" r:id="rId120" xr:uid="{C7426D3D-B510-45B8-ADF7-188EB575CAEA}"/>
    <hyperlink ref="I113" r:id="rId121" xr:uid="{3D8C6F5A-237A-496A-BD5A-7CA2BFF9F54A}"/>
    <hyperlink ref="F114" r:id="rId122" display="11-Mar-26" xr:uid="{1F84A302-DD44-4F69-9647-07062669864D}"/>
    <hyperlink ref="H114" r:id="rId123" xr:uid="{9FF127E4-1F47-4085-9FAA-AB537349E513}"/>
    <hyperlink ref="I114" r:id="rId124" xr:uid="{7DEF2132-32B9-48FA-9CEC-7DD8F2CA00CE}"/>
    <hyperlink ref="F115" r:id="rId125" display="11-Mar-26" xr:uid="{1FE144A4-C856-4879-BEF9-0D1B8B5903A5}"/>
    <hyperlink ref="H115" r:id="rId126" xr:uid="{FE8AC2BA-D901-432C-B500-4D0A07C2F863}"/>
    <hyperlink ref="I115" r:id="rId127" xr:uid="{A0FC9084-65E8-4FFB-A93E-FA48233B07F1}"/>
    <hyperlink ref="P118" r:id="rId128" xr:uid="{487F8F34-1D32-4F35-927C-DDEAC5524A4B}"/>
    <hyperlink ref="P121" r:id="rId129" xr:uid="{D06AE619-6C6B-4CBD-851F-C9EA207D160D}"/>
    <hyperlink ref="J6" r:id="rId130" xr:uid="{4B2EEEA4-3513-45A7-A33D-57AB3C530DA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F639C-FF3F-5B4D-92D4-CF84CFD99201}">
  <sheetPr codeName="Sheet2"/>
  <dimension ref="B2:E43"/>
  <sheetViews>
    <sheetView zoomScaleNormal="100" workbookViewId="0">
      <selection activeCell="B6" sqref="B6"/>
    </sheetView>
  </sheetViews>
  <sheetFormatPr defaultColWidth="10.875" defaultRowHeight="15.6"/>
  <cols>
    <col min="1" max="1" width="10.875" style="1"/>
    <col min="2" max="2" width="77" style="4" customWidth="1"/>
    <col min="3" max="16384" width="10.875" style="1"/>
  </cols>
  <sheetData>
    <row r="2" spans="2:2" ht="16.149999999999999" thickBot="1">
      <c r="B2" s="2" t="s">
        <v>185</v>
      </c>
    </row>
    <row r="3" spans="2:2" ht="16.149999999999999" thickBot="1">
      <c r="B3" s="3">
        <v>28</v>
      </c>
    </row>
    <row r="4" spans="2:2" ht="16.149999999999999" thickBot="1">
      <c r="B4" s="2" t="s">
        <v>186</v>
      </c>
    </row>
    <row r="5" spans="2:2" ht="16.149999999999999" thickBot="1">
      <c r="B5" s="3" t="s">
        <v>187</v>
      </c>
    </row>
    <row r="7" spans="2:2" ht="16.149999999999999" thickBot="1">
      <c r="B7" s="2" t="s">
        <v>188</v>
      </c>
    </row>
    <row r="8" spans="2:2">
      <c r="B8" s="63" t="s">
        <v>189</v>
      </c>
    </row>
    <row r="9" spans="2:2">
      <c r="B9" s="64"/>
    </row>
    <row r="10" spans="2:2">
      <c r="B10" s="64"/>
    </row>
    <row r="11" spans="2:2">
      <c r="B11" s="64"/>
    </row>
    <row r="12" spans="2:2">
      <c r="B12" s="64"/>
    </row>
    <row r="13" spans="2:2">
      <c r="B13" s="64"/>
    </row>
    <row r="14" spans="2:2" ht="16.149999999999999" thickBot="1">
      <c r="B14" s="65"/>
    </row>
    <row r="16" spans="2:2" ht="16.149999999999999" thickBot="1">
      <c r="B16" s="2" t="s">
        <v>190</v>
      </c>
    </row>
    <row r="17" spans="2:5">
      <c r="B17" s="63" t="s">
        <v>191</v>
      </c>
    </row>
    <row r="18" spans="2:5">
      <c r="B18" s="64"/>
    </row>
    <row r="19" spans="2:5">
      <c r="B19" s="64"/>
    </row>
    <row r="20" spans="2:5">
      <c r="B20" s="64"/>
    </row>
    <row r="21" spans="2:5">
      <c r="B21" s="64"/>
    </row>
    <row r="22" spans="2:5">
      <c r="B22" s="64"/>
    </row>
    <row r="23" spans="2:5" ht="16.149999999999999" thickBot="1">
      <c r="B23" s="65"/>
    </row>
    <row r="25" spans="2:5" ht="16.149999999999999" thickBot="1">
      <c r="B25" s="2" t="s">
        <v>192</v>
      </c>
    </row>
    <row r="26" spans="2:5">
      <c r="B26" s="63" t="s">
        <v>193</v>
      </c>
    </row>
    <row r="27" spans="2:5">
      <c r="B27" s="64"/>
    </row>
    <row r="28" spans="2:5">
      <c r="B28" s="64"/>
    </row>
    <row r="29" spans="2:5">
      <c r="B29" s="64"/>
    </row>
    <row r="30" spans="2:5">
      <c r="B30" s="64"/>
    </row>
    <row r="31" spans="2:5">
      <c r="B31" s="64"/>
    </row>
    <row r="32" spans="2:5" ht="16.149999999999999" thickBot="1">
      <c r="B32" s="65"/>
      <c r="D32"/>
      <c r="E32"/>
    </row>
    <row r="33" spans="2:3">
      <c r="B33" s="2"/>
    </row>
    <row r="34" spans="2:3">
      <c r="B34" s="10" t="s">
        <v>194</v>
      </c>
      <c r="C34" s="9">
        <v>14200000</v>
      </c>
    </row>
    <row r="36" spans="2:3" ht="16.149999999999999" thickBot="1">
      <c r="B36" s="2" t="s">
        <v>195</v>
      </c>
    </row>
    <row r="37" spans="2:3">
      <c r="B37" s="63" t="s">
        <v>196</v>
      </c>
    </row>
    <row r="38" spans="2:3">
      <c r="B38" s="64"/>
    </row>
    <row r="39" spans="2:3">
      <c r="B39" s="64"/>
    </row>
    <row r="40" spans="2:3">
      <c r="B40" s="64"/>
    </row>
    <row r="41" spans="2:3">
      <c r="B41" s="64"/>
    </row>
    <row r="42" spans="2:3">
      <c r="B42" s="64"/>
    </row>
    <row r="43" spans="2:3" ht="16.149999999999999" thickBot="1">
      <c r="B43" s="65"/>
    </row>
  </sheetData>
  <mergeCells count="4">
    <mergeCell ref="B8:B14"/>
    <mergeCell ref="B17:B23"/>
    <mergeCell ref="B26:B32"/>
    <mergeCell ref="B37:B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723F0-1185-A94F-851E-0A5BA6B97CE1}">
  <sheetPr codeName="Sheet3"/>
  <dimension ref="A1:K51"/>
  <sheetViews>
    <sheetView topLeftCell="A18" zoomScaleNormal="100" workbookViewId="0">
      <selection activeCell="C17" sqref="C17"/>
    </sheetView>
  </sheetViews>
  <sheetFormatPr defaultColWidth="10.875" defaultRowHeight="15.6"/>
  <cols>
    <col min="1" max="1" width="10.875" style="11"/>
    <col min="2" max="2" width="54" style="11" customWidth="1"/>
    <col min="3" max="3" width="13" style="11" customWidth="1"/>
    <col min="4" max="4" width="12" style="11" customWidth="1"/>
    <col min="5" max="5" width="20.625" style="11" customWidth="1"/>
    <col min="6" max="16384" width="10.875" style="11"/>
  </cols>
  <sheetData>
    <row r="1" spans="1:11">
      <c r="A1"/>
      <c r="B1"/>
      <c r="C1"/>
      <c r="D1"/>
    </row>
    <row r="2" spans="1:11" ht="15.95" customHeight="1">
      <c r="A2"/>
      <c r="B2"/>
      <c r="C2"/>
      <c r="D2"/>
    </row>
    <row r="3" spans="1:11" ht="13.5" customHeight="1">
      <c r="A3" s="51"/>
      <c r="B3" s="51"/>
      <c r="C3" s="51"/>
    </row>
    <row r="5" spans="1:11">
      <c r="C5" s="12" t="s">
        <v>197</v>
      </c>
      <c r="D5" s="12" t="s">
        <v>198</v>
      </c>
    </row>
    <row r="6" spans="1:11">
      <c r="B6" s="13" t="s">
        <v>199</v>
      </c>
      <c r="C6" s="27">
        <f>Overview!C34*D6</f>
        <v>636160</v>
      </c>
      <c r="D6" s="14">
        <v>4.48E-2</v>
      </c>
      <c r="F6" s="11" t="s">
        <v>200</v>
      </c>
    </row>
    <row r="7" spans="1:11">
      <c r="B7" s="13" t="s">
        <v>201</v>
      </c>
      <c r="C7" s="15"/>
      <c r="F7" s="55" t="s">
        <v>202</v>
      </c>
      <c r="G7" s="56"/>
      <c r="H7" s="16">
        <v>3</v>
      </c>
      <c r="I7" s="11" t="s">
        <v>203</v>
      </c>
    </row>
    <row r="8" spans="1:11">
      <c r="B8" s="17" t="s">
        <v>204</v>
      </c>
      <c r="C8" s="15"/>
    </row>
    <row r="9" spans="1:11" ht="15.95" customHeight="1">
      <c r="B9" s="57" t="s">
        <v>205</v>
      </c>
      <c r="C9" s="58"/>
      <c r="D9" s="58"/>
    </row>
    <row r="10" spans="1:11">
      <c r="B10" s="57"/>
      <c r="C10" s="58"/>
      <c r="D10" s="58"/>
    </row>
    <row r="11" spans="1:11">
      <c r="B11" s="18"/>
      <c r="C11" s="15"/>
    </row>
    <row r="12" spans="1:11" ht="15.95" customHeight="1">
      <c r="B12" s="19" t="s">
        <v>206</v>
      </c>
      <c r="C12" s="36">
        <f>C13*C14</f>
        <v>200000</v>
      </c>
      <c r="D12" s="20"/>
      <c r="F12" s="52"/>
      <c r="G12" s="53"/>
      <c r="H12" s="53"/>
      <c r="I12" s="53"/>
      <c r="J12" s="53"/>
      <c r="K12" s="53"/>
    </row>
    <row r="13" spans="1:11">
      <c r="B13" s="13" t="s">
        <v>207</v>
      </c>
      <c r="C13" s="21">
        <f>100</f>
        <v>100</v>
      </c>
      <c r="F13" s="53"/>
      <c r="G13" s="53"/>
      <c r="H13" s="53"/>
      <c r="I13" s="53"/>
      <c r="J13" s="53"/>
      <c r="K13" s="53"/>
    </row>
    <row r="14" spans="1:11">
      <c r="B14" s="13" t="s">
        <v>208</v>
      </c>
      <c r="C14" s="21">
        <v>2000</v>
      </c>
      <c r="F14" s="53"/>
      <c r="G14" s="53"/>
      <c r="H14" s="53"/>
      <c r="I14" s="53"/>
      <c r="J14" s="53"/>
      <c r="K14" s="53"/>
    </row>
    <row r="15" spans="1:11">
      <c r="C15" s="15"/>
      <c r="F15" s="53"/>
      <c r="G15" s="53"/>
      <c r="H15" s="53"/>
      <c r="I15" s="53"/>
      <c r="J15" s="53"/>
      <c r="K15" s="53"/>
    </row>
    <row r="16" spans="1:11">
      <c r="B16" s="11" t="s">
        <v>209</v>
      </c>
      <c r="C16" s="21">
        <f>(120+250+80+400+292)*C13</f>
        <v>114200</v>
      </c>
      <c r="D16" s="50">
        <v>62000</v>
      </c>
      <c r="F16" s="53"/>
      <c r="G16" s="53"/>
      <c r="H16" s="53"/>
      <c r="I16" s="53"/>
      <c r="J16" s="53"/>
      <c r="K16" s="53"/>
    </row>
    <row r="17" spans="2:11">
      <c r="C17" s="15"/>
      <c r="F17" s="53"/>
      <c r="G17" s="53"/>
      <c r="H17" s="53"/>
      <c r="I17" s="53"/>
      <c r="J17" s="53"/>
      <c r="K17" s="53"/>
    </row>
    <row r="18" spans="2:11">
      <c r="B18" s="22" t="s">
        <v>210</v>
      </c>
      <c r="C18" s="27">
        <f>C12-C16</f>
        <v>85800</v>
      </c>
      <c r="D18" s="5">
        <f>C18/C12</f>
        <v>0.42899999999999999</v>
      </c>
      <c r="F18" s="53"/>
      <c r="G18" s="53"/>
      <c r="H18" s="53"/>
      <c r="I18" s="53"/>
      <c r="J18" s="53"/>
      <c r="K18" s="53"/>
    </row>
    <row r="19" spans="2:11">
      <c r="C19" s="15"/>
    </row>
    <row r="20" spans="2:11">
      <c r="B20" s="22" t="s">
        <v>211</v>
      </c>
      <c r="C20" s="27">
        <f>SUM(C21:C23)+C25</f>
        <v>0</v>
      </c>
    </row>
    <row r="21" spans="2:11" ht="15.95" customHeight="1">
      <c r="B21" s="11" t="s">
        <v>212</v>
      </c>
      <c r="C21" s="21"/>
      <c r="F21" s="52"/>
      <c r="G21" s="52"/>
      <c r="H21" s="52"/>
      <c r="I21" s="52"/>
      <c r="J21" s="52"/>
      <c r="K21" s="52"/>
    </row>
    <row r="22" spans="2:11">
      <c r="C22" s="21"/>
      <c r="F22" s="52"/>
      <c r="G22" s="52"/>
      <c r="H22" s="52"/>
      <c r="I22" s="52"/>
      <c r="J22" s="52"/>
      <c r="K22" s="52"/>
    </row>
    <row r="23" spans="2:11">
      <c r="C23" s="21"/>
      <c r="F23" s="52"/>
      <c r="G23" s="52"/>
      <c r="H23" s="52"/>
      <c r="I23" s="52"/>
      <c r="J23" s="52"/>
      <c r="K23" s="52"/>
    </row>
    <row r="24" spans="2:11">
      <c r="C24" s="23"/>
      <c r="F24" s="52"/>
      <c r="G24" s="52"/>
      <c r="H24" s="52"/>
      <c r="I24" s="52"/>
      <c r="J24" s="52"/>
      <c r="K24" s="52"/>
    </row>
    <row r="25" spans="2:11">
      <c r="C25" s="21"/>
    </row>
    <row r="26" spans="2:11" ht="15.95" customHeight="1">
      <c r="C26" s="23"/>
    </row>
    <row r="27" spans="2:11">
      <c r="B27" s="22" t="s">
        <v>213</v>
      </c>
      <c r="C27" s="27">
        <f>C18-SUM(C21:C23)</f>
        <v>85800</v>
      </c>
      <c r="F27" s="52"/>
      <c r="G27" s="52"/>
      <c r="H27" s="52"/>
      <c r="I27" s="52"/>
      <c r="J27" s="52"/>
      <c r="K27" s="52"/>
    </row>
    <row r="28" spans="2:11">
      <c r="C28" s="15"/>
      <c r="F28" s="52"/>
      <c r="G28" s="52"/>
      <c r="H28" s="52"/>
      <c r="I28" s="52"/>
      <c r="J28" s="52"/>
      <c r="K28" s="52"/>
    </row>
    <row r="29" spans="2:11">
      <c r="B29" s="22" t="s">
        <v>214</v>
      </c>
      <c r="C29" s="27">
        <f>C18-C20</f>
        <v>85800</v>
      </c>
      <c r="F29" s="52"/>
      <c r="G29" s="52"/>
      <c r="H29" s="52"/>
      <c r="I29" s="52"/>
      <c r="J29" s="52"/>
      <c r="K29" s="52"/>
    </row>
    <row r="30" spans="2:11">
      <c r="B30" s="22"/>
      <c r="C30" s="15"/>
      <c r="F30" s="52"/>
      <c r="G30" s="52"/>
      <c r="H30" s="52"/>
      <c r="I30" s="52"/>
      <c r="J30" s="52"/>
      <c r="K30" s="52"/>
    </row>
    <row r="31" spans="2:11">
      <c r="B31" s="11" t="s">
        <v>215</v>
      </c>
      <c r="C31" s="15"/>
      <c r="D31" s="14">
        <v>0.25800000000000001</v>
      </c>
      <c r="F31" s="52"/>
      <c r="G31" s="52"/>
      <c r="H31" s="52"/>
      <c r="I31" s="52"/>
      <c r="J31" s="52"/>
      <c r="K31" s="52"/>
    </row>
    <row r="32" spans="2:11">
      <c r="B32" s="24" t="s">
        <v>216</v>
      </c>
      <c r="C32" s="15"/>
      <c r="F32" s="52"/>
      <c r="G32" s="52"/>
      <c r="H32" s="52"/>
      <c r="I32" s="52"/>
      <c r="J32" s="52"/>
      <c r="K32" s="52"/>
    </row>
    <row r="33" spans="2:11" ht="16.149999999999999" thickBot="1">
      <c r="B33" s="25" t="s">
        <v>217</v>
      </c>
      <c r="C33" s="28">
        <f>C29*(1-D31)</f>
        <v>63663.6</v>
      </c>
      <c r="D33" s="26"/>
      <c r="F33" s="52"/>
      <c r="G33" s="52"/>
      <c r="H33" s="52"/>
      <c r="I33" s="52"/>
      <c r="J33" s="52"/>
      <c r="K33" s="52"/>
    </row>
    <row r="34" spans="2:11" ht="16.149999999999999" thickTop="1">
      <c r="F34" s="52"/>
      <c r="G34" s="52"/>
      <c r="H34" s="52"/>
      <c r="I34" s="52"/>
      <c r="J34" s="52"/>
      <c r="K34" s="52"/>
    </row>
    <row r="35" spans="2:11">
      <c r="B35" s="11" t="s">
        <v>218</v>
      </c>
      <c r="C35" s="14">
        <v>3</v>
      </c>
      <c r="F35" s="52"/>
      <c r="G35" s="52"/>
      <c r="H35" s="52"/>
      <c r="I35" s="52"/>
      <c r="J35" s="52"/>
      <c r="K35" s="52"/>
    </row>
    <row r="36" spans="2:11">
      <c r="C36" s="54"/>
      <c r="F36" s="52"/>
      <c r="G36" s="52"/>
      <c r="H36" s="52"/>
      <c r="I36" s="52"/>
      <c r="J36" s="52"/>
      <c r="K36" s="52"/>
    </row>
    <row r="37" spans="2:11" ht="15.95" customHeight="1">
      <c r="F37" s="52"/>
      <c r="G37" s="52"/>
      <c r="H37" s="52"/>
      <c r="I37" s="52"/>
      <c r="J37" s="52"/>
      <c r="K37" s="52"/>
    </row>
    <row r="38" spans="2:11">
      <c r="B38"/>
      <c r="C38"/>
    </row>
    <row r="39" spans="2:11" ht="15.95" customHeight="1">
      <c r="B39"/>
      <c r="C39"/>
    </row>
    <row r="40" spans="2:11">
      <c r="B40"/>
      <c r="C40"/>
    </row>
    <row r="41" spans="2:11" ht="15.95" customHeight="1">
      <c r="B41"/>
      <c r="C41"/>
      <c r="F41" s="52"/>
      <c r="G41" s="52"/>
      <c r="H41" s="52"/>
      <c r="I41" s="52"/>
      <c r="J41" s="52"/>
      <c r="K41" s="52"/>
    </row>
    <row r="42" spans="2:11">
      <c r="F42" s="52"/>
      <c r="G42" s="52"/>
      <c r="H42" s="52"/>
      <c r="I42" s="52"/>
      <c r="J42" s="52"/>
      <c r="K42" s="52"/>
    </row>
    <row r="43" spans="2:11">
      <c r="F43" s="52"/>
      <c r="G43" s="52"/>
      <c r="H43" s="52"/>
      <c r="I43" s="52"/>
      <c r="J43" s="52"/>
      <c r="K43" s="52"/>
    </row>
    <row r="44" spans="2:11">
      <c r="F44" s="52"/>
      <c r="G44" s="52"/>
      <c r="H44" s="52"/>
      <c r="I44" s="52"/>
      <c r="J44" s="52"/>
      <c r="K44" s="52"/>
    </row>
    <row r="45" spans="2:11">
      <c r="B45"/>
      <c r="C45"/>
      <c r="D45"/>
      <c r="F45" s="52"/>
      <c r="G45" s="52"/>
      <c r="H45" s="52"/>
      <c r="I45" s="52"/>
      <c r="J45" s="52"/>
      <c r="K45" s="52"/>
    </row>
    <row r="46" spans="2:11">
      <c r="B46"/>
      <c r="C46"/>
      <c r="D46"/>
      <c r="F46" s="52"/>
      <c r="G46" s="52"/>
      <c r="H46" s="52"/>
      <c r="I46" s="52"/>
      <c r="J46" s="52"/>
      <c r="K46" s="52"/>
    </row>
    <row r="47" spans="2:11">
      <c r="B47"/>
      <c r="C47"/>
      <c r="D47"/>
      <c r="F47" s="52"/>
      <c r="G47" s="52"/>
      <c r="H47" s="52"/>
      <c r="I47" s="52"/>
      <c r="J47" s="52"/>
      <c r="K47" s="52"/>
    </row>
    <row r="48" spans="2:11">
      <c r="B48"/>
      <c r="C48"/>
      <c r="D48"/>
      <c r="F48" s="52"/>
      <c r="G48" s="52"/>
      <c r="H48" s="52"/>
      <c r="I48" s="52"/>
      <c r="J48" s="52"/>
      <c r="K48" s="52"/>
    </row>
    <row r="49" spans="2:11">
      <c r="B49"/>
      <c r="C49"/>
      <c r="D49"/>
      <c r="F49" s="52"/>
      <c r="G49" s="52"/>
      <c r="H49" s="52"/>
      <c r="I49" s="52"/>
      <c r="J49" s="52"/>
      <c r="K49" s="52"/>
    </row>
    <row r="50" spans="2:11">
      <c r="B50"/>
      <c r="C50"/>
      <c r="D50"/>
      <c r="F50" s="52"/>
      <c r="G50" s="52"/>
      <c r="H50" s="52"/>
      <c r="I50" s="52"/>
      <c r="J50" s="52"/>
      <c r="K50" s="52"/>
    </row>
    <row r="51" spans="2:11">
      <c r="F51" s="52"/>
      <c r="G51" s="52"/>
      <c r="H51" s="52"/>
      <c r="I51" s="52"/>
      <c r="J51" s="52"/>
      <c r="K51" s="52"/>
    </row>
  </sheetData>
  <sheetProtection sheet="1" formatCells="0" formatColumns="0" formatRows="0" insertColumns="0" insertRows="0" insertHyperlinks="0" deleteColumns="0" deleteRows="0" selectLockedCells="1" sort="0" autoFilter="0" pivotTables="0"/>
  <mergeCells count="2">
    <mergeCell ref="F7:G7"/>
    <mergeCell ref="B9:D1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95C63-3FCF-F442-B0A0-08A6742A3020}">
  <sheetPr codeName="Sheet14"/>
  <dimension ref="A1:F76"/>
  <sheetViews>
    <sheetView zoomScale="125" workbookViewId="0">
      <selection activeCell="G4" sqref="G4"/>
    </sheetView>
  </sheetViews>
  <sheetFormatPr defaultColWidth="10.875" defaultRowHeight="15.6"/>
  <cols>
    <col min="1" max="1" width="16.625" style="11" customWidth="1"/>
    <col min="2" max="2" width="32.5" style="11" customWidth="1"/>
    <col min="3" max="4" width="14.625" style="11" customWidth="1"/>
    <col min="5" max="5" width="15.375" style="11" customWidth="1"/>
    <col min="6" max="6" width="18" style="11" customWidth="1"/>
    <col min="7" max="7" width="16.5" style="11" bestFit="1" customWidth="1"/>
    <col min="8" max="16384" width="10.875" style="11"/>
  </cols>
  <sheetData>
    <row r="1" spans="1:6">
      <c r="A1" s="66" t="s">
        <v>219</v>
      </c>
      <c r="B1" s="66"/>
    </row>
    <row r="2" spans="1:6" ht="33" customHeight="1">
      <c r="A2" s="66"/>
      <c r="B2" s="66"/>
    </row>
    <row r="4" spans="1:6">
      <c r="F4" s="29" t="s">
        <v>220</v>
      </c>
    </row>
    <row r="5" spans="1:6">
      <c r="B5" s="11" t="s">
        <v>221</v>
      </c>
      <c r="C5" s="11">
        <v>1</v>
      </c>
      <c r="D5" s="11">
        <v>2</v>
      </c>
      <c r="E5" s="11" t="s">
        <v>222</v>
      </c>
      <c r="F5" s="5">
        <f>'P&amp;L Target Year'!H7</f>
        <v>3</v>
      </c>
    </row>
    <row r="6" spans="1:6">
      <c r="E6" s="11" t="s">
        <v>223</v>
      </c>
    </row>
    <row r="7" spans="1:6">
      <c r="C7" s="12" t="s">
        <v>197</v>
      </c>
    </row>
    <row r="8" spans="1:6">
      <c r="B8" s="30" t="s">
        <v>224</v>
      </c>
      <c r="C8" s="5">
        <f>C10+C11</f>
        <v>0</v>
      </c>
      <c r="D8" s="5">
        <f>D10+D11</f>
        <v>0</v>
      </c>
      <c r="F8" s="5">
        <f>F10+F11</f>
        <v>63663.6</v>
      </c>
    </row>
    <row r="9" spans="1:6">
      <c r="B9" s="31"/>
    </row>
    <row r="10" spans="1:6">
      <c r="B10" s="31" t="s">
        <v>217</v>
      </c>
      <c r="C10" s="14"/>
      <c r="D10" s="14"/>
      <c r="F10" s="5">
        <f>'P&amp;L Target Year'!C33</f>
        <v>63663.6</v>
      </c>
    </row>
    <row r="11" spans="1:6">
      <c r="B11" s="31" t="s">
        <v>225</v>
      </c>
      <c r="C11" s="14"/>
      <c r="D11" s="14"/>
      <c r="F11" s="5">
        <f>'P&amp;L Target Year'!C25</f>
        <v>0</v>
      </c>
    </row>
    <row r="12" spans="1:6">
      <c r="B12" s="31"/>
    </row>
    <row r="13" spans="1:6">
      <c r="B13" s="30" t="s">
        <v>226</v>
      </c>
      <c r="C13" s="5">
        <f>C15+C16</f>
        <v>0</v>
      </c>
      <c r="D13" s="5">
        <f>D15+D16</f>
        <v>0</v>
      </c>
      <c r="F13" s="5">
        <f>F15+F16</f>
        <v>0</v>
      </c>
    </row>
    <row r="14" spans="1:6">
      <c r="B14" s="31"/>
    </row>
    <row r="15" spans="1:6">
      <c r="B15" s="31" t="s">
        <v>227</v>
      </c>
      <c r="C15" s="14"/>
      <c r="D15" s="14"/>
      <c r="F15" s="14"/>
    </row>
    <row r="16" spans="1:6">
      <c r="B16" s="31" t="s">
        <v>228</v>
      </c>
      <c r="C16" s="14"/>
      <c r="D16" s="14"/>
      <c r="F16" s="14"/>
    </row>
    <row r="18" spans="2:6">
      <c r="B18" s="30" t="s">
        <v>229</v>
      </c>
      <c r="C18" s="5">
        <f>SUM(C20:C23)</f>
        <v>0</v>
      </c>
      <c r="D18" s="5">
        <f>SUM(D20:D23)</f>
        <v>0</v>
      </c>
      <c r="F18" s="5">
        <f>SUM(F20:F23)</f>
        <v>0</v>
      </c>
    </row>
    <row r="19" spans="2:6">
      <c r="B19" s="31"/>
    </row>
    <row r="20" spans="2:6">
      <c r="B20" s="31" t="s">
        <v>230</v>
      </c>
      <c r="C20" s="14"/>
      <c r="D20" s="14"/>
      <c r="F20" s="14"/>
    </row>
    <row r="21" spans="2:6">
      <c r="B21" s="31" t="s">
        <v>231</v>
      </c>
      <c r="C21" s="14"/>
      <c r="D21" s="14"/>
      <c r="F21" s="14"/>
    </row>
    <row r="22" spans="2:6">
      <c r="B22" s="31" t="s">
        <v>232</v>
      </c>
      <c r="C22" s="14"/>
      <c r="D22" s="14"/>
      <c r="F22" s="14"/>
    </row>
    <row r="23" spans="2:6">
      <c r="B23" s="31" t="s">
        <v>233</v>
      </c>
      <c r="C23" s="14"/>
      <c r="D23" s="14"/>
      <c r="F23" s="14"/>
    </row>
    <row r="24" spans="2:6">
      <c r="B24" s="31"/>
    </row>
    <row r="25" spans="2:6">
      <c r="B25" s="30" t="s">
        <v>234</v>
      </c>
      <c r="C25" s="5">
        <f>C8+C13+C18</f>
        <v>0</v>
      </c>
      <c r="D25" s="5">
        <f>D8+D13+D18</f>
        <v>0</v>
      </c>
      <c r="F25" s="5">
        <f>F8+F13+F18</f>
        <v>63663.6</v>
      </c>
    </row>
    <row r="26" spans="2:6">
      <c r="B26" s="31"/>
    </row>
    <row r="27" spans="2:6" ht="16.149999999999999" thickBot="1">
      <c r="B27" s="32" t="s">
        <v>235</v>
      </c>
      <c r="C27" s="35">
        <f>C25</f>
        <v>0</v>
      </c>
      <c r="D27" s="35">
        <f>C27+D25</f>
        <v>0</v>
      </c>
      <c r="F27" s="33" t="s">
        <v>236</v>
      </c>
    </row>
    <row r="28" spans="2:6" ht="16.149999999999999" thickTop="1"/>
    <row r="30" spans="2:6">
      <c r="B30" s="30" t="s">
        <v>237</v>
      </c>
    </row>
    <row r="31" spans="2:6">
      <c r="B31" s="31" t="s">
        <v>238</v>
      </c>
      <c r="C31" s="14"/>
      <c r="D31" s="14"/>
    </row>
    <row r="32" spans="2:6">
      <c r="B32" s="11" t="s">
        <v>239</v>
      </c>
      <c r="C32" s="21"/>
      <c r="D32" s="21"/>
    </row>
    <row r="33" spans="2:5">
      <c r="B33" s="11" t="s">
        <v>240</v>
      </c>
      <c r="C33" s="21"/>
      <c r="D33" s="21"/>
    </row>
    <row r="34" spans="2:5">
      <c r="B34" s="11" t="s">
        <v>241</v>
      </c>
      <c r="C34" s="21"/>
      <c r="D34" s="21"/>
    </row>
    <row r="35" spans="2:5">
      <c r="B35" s="24" t="s">
        <v>242</v>
      </c>
      <c r="C35" s="21"/>
      <c r="D35" s="21"/>
    </row>
    <row r="36" spans="2:5">
      <c r="B36" s="24" t="s">
        <v>242</v>
      </c>
      <c r="C36" s="21"/>
      <c r="D36" s="21"/>
    </row>
    <row r="37" spans="2:5">
      <c r="B37" s="24" t="s">
        <v>242</v>
      </c>
      <c r="C37" s="21"/>
      <c r="D37" s="21"/>
    </row>
    <row r="39" spans="2:5">
      <c r="B39" s="34" t="s">
        <v>243</v>
      </c>
    </row>
    <row r="41" spans="2:5">
      <c r="B41" s="11" t="s">
        <v>244</v>
      </c>
    </row>
    <row r="43" spans="2:5">
      <c r="C43" s="11" t="s">
        <v>245</v>
      </c>
    </row>
    <row r="44" spans="2:5">
      <c r="B44" s="11" t="s">
        <v>246</v>
      </c>
      <c r="C44" s="14"/>
    </row>
    <row r="46" spans="2:5">
      <c r="B46" s="11" t="s">
        <v>247</v>
      </c>
      <c r="C46" s="14"/>
    </row>
    <row r="47" spans="2:5">
      <c r="B47" s="31"/>
      <c r="C47" s="31"/>
      <c r="D47" s="31"/>
      <c r="E47" s="31"/>
    </row>
    <row r="48" spans="2:5">
      <c r="B48" s="31"/>
      <c r="C48" s="31"/>
      <c r="D48" s="31"/>
      <c r="E48" s="31"/>
    </row>
    <row r="49" spans="2:6">
      <c r="B49" s="22" t="s">
        <v>248</v>
      </c>
    </row>
    <row r="50" spans="2:6">
      <c r="B50" s="67" t="s">
        <v>249</v>
      </c>
      <c r="C50" s="68"/>
      <c r="D50" s="68"/>
      <c r="E50" s="68"/>
      <c r="F50" s="69"/>
    </row>
    <row r="51" spans="2:6">
      <c r="B51" s="70"/>
      <c r="C51" s="71"/>
      <c r="D51" s="71"/>
      <c r="E51" s="71"/>
      <c r="F51" s="72"/>
    </row>
    <row r="52" spans="2:6">
      <c r="B52" s="70"/>
      <c r="C52" s="71"/>
      <c r="D52" s="71"/>
      <c r="E52" s="71"/>
      <c r="F52" s="72"/>
    </row>
    <row r="53" spans="2:6">
      <c r="B53" s="70"/>
      <c r="C53" s="71"/>
      <c r="D53" s="71"/>
      <c r="E53" s="71"/>
      <c r="F53" s="72"/>
    </row>
    <row r="54" spans="2:6">
      <c r="B54" s="70"/>
      <c r="C54" s="71"/>
      <c r="D54" s="71"/>
      <c r="E54" s="71"/>
      <c r="F54" s="72"/>
    </row>
    <row r="55" spans="2:6">
      <c r="B55" s="70"/>
      <c r="C55" s="71"/>
      <c r="D55" s="71"/>
      <c r="E55" s="71"/>
      <c r="F55" s="72"/>
    </row>
    <row r="56" spans="2:6">
      <c r="B56" s="70"/>
      <c r="C56" s="71"/>
      <c r="D56" s="71"/>
      <c r="E56" s="71"/>
      <c r="F56" s="72"/>
    </row>
    <row r="57" spans="2:6">
      <c r="B57" s="70"/>
      <c r="C57" s="71"/>
      <c r="D57" s="71"/>
      <c r="E57" s="71"/>
      <c r="F57" s="72"/>
    </row>
    <row r="58" spans="2:6">
      <c r="B58" s="73"/>
      <c r="C58" s="74"/>
      <c r="D58" s="74"/>
      <c r="E58" s="74"/>
      <c r="F58" s="75"/>
    </row>
    <row r="59" spans="2:6">
      <c r="B59" s="22"/>
    </row>
    <row r="61" spans="2:6">
      <c r="B61" s="22" t="s">
        <v>250</v>
      </c>
    </row>
    <row r="62" spans="2:6">
      <c r="B62" s="67" t="s">
        <v>251</v>
      </c>
      <c r="C62" s="68"/>
      <c r="D62" s="68"/>
      <c r="E62" s="68"/>
      <c r="F62" s="69"/>
    </row>
    <row r="63" spans="2:6">
      <c r="B63" s="70"/>
      <c r="C63" s="71"/>
      <c r="D63" s="71"/>
      <c r="E63" s="71"/>
      <c r="F63" s="72"/>
    </row>
    <row r="64" spans="2:6">
      <c r="B64" s="70"/>
      <c r="C64" s="71"/>
      <c r="D64" s="71"/>
      <c r="E64" s="71"/>
      <c r="F64" s="72"/>
    </row>
    <row r="65" spans="2:6">
      <c r="B65" s="70"/>
      <c r="C65" s="71"/>
      <c r="D65" s="71"/>
      <c r="E65" s="71"/>
      <c r="F65" s="72"/>
    </row>
    <row r="66" spans="2:6">
      <c r="B66" s="70"/>
      <c r="C66" s="71"/>
      <c r="D66" s="71"/>
      <c r="E66" s="71"/>
      <c r="F66" s="72"/>
    </row>
    <row r="67" spans="2:6">
      <c r="B67" s="70"/>
      <c r="C67" s="71"/>
      <c r="D67" s="71"/>
      <c r="E67" s="71"/>
      <c r="F67" s="72"/>
    </row>
    <row r="68" spans="2:6">
      <c r="B68" s="70"/>
      <c r="C68" s="71"/>
      <c r="D68" s="71"/>
      <c r="E68" s="71"/>
      <c r="F68" s="72"/>
    </row>
    <row r="69" spans="2:6">
      <c r="B69" s="70"/>
      <c r="C69" s="71"/>
      <c r="D69" s="71"/>
      <c r="E69" s="71"/>
      <c r="F69" s="72"/>
    </row>
    <row r="70" spans="2:6">
      <c r="B70" s="73"/>
      <c r="C70" s="74"/>
      <c r="D70" s="74"/>
      <c r="E70" s="74"/>
      <c r="F70" s="75"/>
    </row>
    <row r="73" spans="2:6">
      <c r="B73" s="11" t="s">
        <v>252</v>
      </c>
    </row>
    <row r="74" spans="2:6">
      <c r="B74" s="76" t="s">
        <v>253</v>
      </c>
      <c r="C74" s="77"/>
      <c r="D74" s="77"/>
      <c r="E74" s="77"/>
      <c r="F74" s="78"/>
    </row>
    <row r="75" spans="2:6">
      <c r="B75" s="79"/>
      <c r="C75" s="80"/>
      <c r="D75" s="80"/>
      <c r="E75" s="80"/>
      <c r="F75" s="81"/>
    </row>
    <row r="76" spans="2:6">
      <c r="B76" s="82"/>
      <c r="C76" s="83"/>
      <c r="D76" s="83"/>
      <c r="E76" s="83"/>
      <c r="F76" s="84"/>
    </row>
  </sheetData>
  <sheetProtection sheet="1" objects="1" scenarios="1" insertColumns="0" insertRows="0" insertHyperlinks="0" deleteColumns="0" deleteRows="0" selectLockedCells="1"/>
  <mergeCells count="4">
    <mergeCell ref="A1:B2"/>
    <mergeCell ref="B50:F58"/>
    <mergeCell ref="B62:F70"/>
    <mergeCell ref="B74:F76"/>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8C4F-1C8B-0B42-938E-A7133FD09716}">
  <sheetPr codeName="Sheet15"/>
  <dimension ref="A1:G76"/>
  <sheetViews>
    <sheetView zoomScale="125" workbookViewId="0">
      <selection activeCell="G4" sqref="G4"/>
    </sheetView>
  </sheetViews>
  <sheetFormatPr defaultColWidth="10.875" defaultRowHeight="15.6"/>
  <cols>
    <col min="1" max="1" width="16.625" style="11" customWidth="1"/>
    <col min="2" max="2" width="32.5" style="11" customWidth="1"/>
    <col min="3" max="5" width="14.625" style="11" customWidth="1"/>
    <col min="6" max="6" width="15.375" style="11" customWidth="1"/>
    <col min="7" max="7" width="18" style="11" customWidth="1"/>
    <col min="8" max="8" width="16.5" style="11" bestFit="1" customWidth="1"/>
    <col min="9" max="16384" width="10.875" style="11"/>
  </cols>
  <sheetData>
    <row r="1" spans="1:7">
      <c r="A1" s="66" t="s">
        <v>219</v>
      </c>
      <c r="B1" s="66"/>
    </row>
    <row r="2" spans="1:7" ht="33" customHeight="1">
      <c r="A2" s="66"/>
      <c r="B2" s="66"/>
    </row>
    <row r="4" spans="1:7">
      <c r="G4" s="29" t="s">
        <v>220</v>
      </c>
    </row>
    <row r="5" spans="1:7">
      <c r="B5" s="11" t="s">
        <v>221</v>
      </c>
      <c r="C5" s="11">
        <v>1</v>
      </c>
      <c r="D5" s="11">
        <v>2</v>
      </c>
      <c r="F5" s="11" t="s">
        <v>222</v>
      </c>
      <c r="G5" s="5">
        <f>'P&amp;L Target Year'!H7</f>
        <v>3</v>
      </c>
    </row>
    <row r="6" spans="1:7">
      <c r="F6" s="11" t="s">
        <v>223</v>
      </c>
    </row>
    <row r="7" spans="1:7">
      <c r="C7" s="12" t="s">
        <v>197</v>
      </c>
    </row>
    <row r="8" spans="1:7">
      <c r="B8" s="30" t="s">
        <v>224</v>
      </c>
      <c r="C8" s="5">
        <f>C10+C11</f>
        <v>0</v>
      </c>
      <c r="D8" s="5">
        <f>D10+D11</f>
        <v>0</v>
      </c>
      <c r="E8" s="5">
        <f>E10+E11</f>
        <v>0</v>
      </c>
      <c r="G8" s="5">
        <f>G10+G11</f>
        <v>63663.6</v>
      </c>
    </row>
    <row r="9" spans="1:7">
      <c r="B9" s="31"/>
    </row>
    <row r="10" spans="1:7">
      <c r="B10" s="31" t="s">
        <v>217</v>
      </c>
      <c r="C10" s="14"/>
      <c r="D10" s="14"/>
      <c r="E10" s="14"/>
      <c r="G10" s="5">
        <f>'P&amp;L Target Year'!C33</f>
        <v>63663.6</v>
      </c>
    </row>
    <row r="11" spans="1:7">
      <c r="B11" s="31" t="s">
        <v>225</v>
      </c>
      <c r="C11" s="14"/>
      <c r="D11" s="14"/>
      <c r="E11" s="14"/>
      <c r="G11" s="5">
        <f>'P&amp;L Target Year'!C25</f>
        <v>0</v>
      </c>
    </row>
    <row r="12" spans="1:7">
      <c r="B12" s="31"/>
    </row>
    <row r="13" spans="1:7">
      <c r="B13" s="30" t="s">
        <v>226</v>
      </c>
      <c r="C13" s="5">
        <f>C15+C16</f>
        <v>0</v>
      </c>
      <c r="D13" s="5">
        <f>D15+D16</f>
        <v>0</v>
      </c>
      <c r="E13" s="5">
        <f>E15+E16</f>
        <v>0</v>
      </c>
      <c r="G13" s="5">
        <f>G15+G16</f>
        <v>0</v>
      </c>
    </row>
    <row r="14" spans="1:7">
      <c r="B14" s="31"/>
    </row>
    <row r="15" spans="1:7">
      <c r="B15" s="31" t="s">
        <v>227</v>
      </c>
      <c r="C15" s="14"/>
      <c r="D15" s="14"/>
      <c r="E15" s="14"/>
      <c r="G15" s="14"/>
    </row>
    <row r="16" spans="1:7">
      <c r="B16" s="31" t="s">
        <v>228</v>
      </c>
      <c r="C16" s="14"/>
      <c r="D16" s="14"/>
      <c r="E16" s="14"/>
      <c r="G16" s="14"/>
    </row>
    <row r="18" spans="2:7">
      <c r="B18" s="30" t="s">
        <v>229</v>
      </c>
      <c r="C18" s="5">
        <f>SUM(C20:C23)</f>
        <v>0</v>
      </c>
      <c r="D18" s="5">
        <f>SUM(D20:D23)</f>
        <v>0</v>
      </c>
      <c r="E18" s="5">
        <f>SUM(E20:E23)</f>
        <v>0</v>
      </c>
      <c r="G18" s="5">
        <f>SUM(G20:G23)</f>
        <v>0</v>
      </c>
    </row>
    <row r="19" spans="2:7">
      <c r="B19" s="31"/>
    </row>
    <row r="20" spans="2:7">
      <c r="B20" s="31" t="s">
        <v>230</v>
      </c>
      <c r="C20" s="14"/>
      <c r="D20" s="14"/>
      <c r="E20" s="14"/>
      <c r="G20" s="14"/>
    </row>
    <row r="21" spans="2:7">
      <c r="B21" s="31" t="s">
        <v>231</v>
      </c>
      <c r="C21" s="14"/>
      <c r="D21" s="14"/>
      <c r="E21" s="14"/>
      <c r="G21" s="14"/>
    </row>
    <row r="22" spans="2:7">
      <c r="B22" s="31" t="s">
        <v>232</v>
      </c>
      <c r="C22" s="14"/>
      <c r="D22" s="14"/>
      <c r="E22" s="14"/>
      <c r="G22" s="14"/>
    </row>
    <row r="23" spans="2:7">
      <c r="B23" s="31" t="s">
        <v>233</v>
      </c>
      <c r="C23" s="14"/>
      <c r="D23" s="14"/>
      <c r="E23" s="14"/>
      <c r="G23" s="14"/>
    </row>
    <row r="24" spans="2:7">
      <c r="B24" s="31"/>
    </row>
    <row r="25" spans="2:7">
      <c r="B25" s="30" t="s">
        <v>234</v>
      </c>
      <c r="C25" s="5">
        <f>C8+C13+C18</f>
        <v>0</v>
      </c>
      <c r="D25" s="5">
        <f>D8+D13+D18</f>
        <v>0</v>
      </c>
      <c r="E25" s="5">
        <f>E8+E13+E18</f>
        <v>0</v>
      </c>
      <c r="G25" s="5">
        <f>G8+G13+G18</f>
        <v>63663.6</v>
      </c>
    </row>
    <row r="26" spans="2:7">
      <c r="B26" s="31"/>
    </row>
    <row r="27" spans="2:7" ht="16.149999999999999" thickBot="1">
      <c r="B27" s="32" t="s">
        <v>235</v>
      </c>
      <c r="C27" s="35">
        <f>C25</f>
        <v>0</v>
      </c>
      <c r="D27" s="35">
        <f>C27+D25</f>
        <v>0</v>
      </c>
      <c r="E27" s="35">
        <f>D27+E25</f>
        <v>0</v>
      </c>
      <c r="G27" s="33" t="s">
        <v>236</v>
      </c>
    </row>
    <row r="28" spans="2:7" ht="16.149999999999999" thickTop="1"/>
    <row r="30" spans="2:7">
      <c r="B30" s="30" t="s">
        <v>237</v>
      </c>
    </row>
    <row r="31" spans="2:7">
      <c r="B31" s="31" t="s">
        <v>238</v>
      </c>
      <c r="C31" s="14"/>
      <c r="D31" s="14"/>
      <c r="E31" s="14"/>
    </row>
    <row r="32" spans="2:7">
      <c r="B32" s="11" t="s">
        <v>239</v>
      </c>
      <c r="C32" s="21"/>
      <c r="D32" s="21"/>
      <c r="E32" s="21"/>
    </row>
    <row r="33" spans="2:6">
      <c r="B33" s="11" t="s">
        <v>240</v>
      </c>
      <c r="C33" s="21"/>
      <c r="D33" s="21"/>
      <c r="E33" s="21"/>
    </row>
    <row r="34" spans="2:6">
      <c r="B34" s="11" t="s">
        <v>241</v>
      </c>
      <c r="C34" s="21"/>
      <c r="D34" s="21"/>
      <c r="E34" s="21"/>
    </row>
    <row r="35" spans="2:6">
      <c r="B35" s="24" t="s">
        <v>242</v>
      </c>
      <c r="C35" s="21"/>
      <c r="D35" s="21"/>
      <c r="E35" s="21"/>
    </row>
    <row r="36" spans="2:6">
      <c r="B36" s="24" t="s">
        <v>242</v>
      </c>
      <c r="C36" s="21"/>
      <c r="D36" s="21"/>
      <c r="E36" s="21"/>
    </row>
    <row r="37" spans="2:6">
      <c r="B37" s="24" t="s">
        <v>242</v>
      </c>
      <c r="C37" s="21"/>
      <c r="D37" s="21"/>
      <c r="E37" s="21"/>
    </row>
    <row r="39" spans="2:6">
      <c r="B39" s="34" t="s">
        <v>243</v>
      </c>
    </row>
    <row r="41" spans="2:6">
      <c r="B41" s="11" t="s">
        <v>244</v>
      </c>
    </row>
    <row r="43" spans="2:6">
      <c r="C43" s="11" t="s">
        <v>245</v>
      </c>
    </row>
    <row r="44" spans="2:6">
      <c r="B44" s="11" t="s">
        <v>246</v>
      </c>
      <c r="C44" s="14"/>
    </row>
    <row r="46" spans="2:6">
      <c r="B46" s="11" t="s">
        <v>247</v>
      </c>
      <c r="C46" s="14"/>
    </row>
    <row r="47" spans="2:6">
      <c r="B47" s="31"/>
      <c r="C47" s="31"/>
      <c r="D47" s="31"/>
      <c r="E47" s="31"/>
      <c r="F47" s="31"/>
    </row>
    <row r="48" spans="2:6">
      <c r="B48" s="31"/>
      <c r="C48" s="31"/>
      <c r="D48" s="31"/>
      <c r="E48" s="31"/>
      <c r="F48" s="31"/>
    </row>
    <row r="49" spans="2:7">
      <c r="B49" s="22" t="s">
        <v>248</v>
      </c>
    </row>
    <row r="50" spans="2:7">
      <c r="B50" s="67" t="s">
        <v>249</v>
      </c>
      <c r="C50" s="68"/>
      <c r="D50" s="68"/>
      <c r="E50" s="68"/>
      <c r="F50" s="68"/>
      <c r="G50" s="69"/>
    </row>
    <row r="51" spans="2:7">
      <c r="B51" s="70"/>
      <c r="C51" s="71"/>
      <c r="D51" s="71"/>
      <c r="E51" s="71"/>
      <c r="F51" s="71"/>
      <c r="G51" s="72"/>
    </row>
    <row r="52" spans="2:7">
      <c r="B52" s="70"/>
      <c r="C52" s="71"/>
      <c r="D52" s="71"/>
      <c r="E52" s="71"/>
      <c r="F52" s="71"/>
      <c r="G52" s="72"/>
    </row>
    <row r="53" spans="2:7">
      <c r="B53" s="70"/>
      <c r="C53" s="71"/>
      <c r="D53" s="71"/>
      <c r="E53" s="71"/>
      <c r="F53" s="71"/>
      <c r="G53" s="72"/>
    </row>
    <row r="54" spans="2:7">
      <c r="B54" s="70"/>
      <c r="C54" s="71"/>
      <c r="D54" s="71"/>
      <c r="E54" s="71"/>
      <c r="F54" s="71"/>
      <c r="G54" s="72"/>
    </row>
    <row r="55" spans="2:7">
      <c r="B55" s="70"/>
      <c r="C55" s="71"/>
      <c r="D55" s="71"/>
      <c r="E55" s="71"/>
      <c r="F55" s="71"/>
      <c r="G55" s="72"/>
    </row>
    <row r="56" spans="2:7">
      <c r="B56" s="70"/>
      <c r="C56" s="71"/>
      <c r="D56" s="71"/>
      <c r="E56" s="71"/>
      <c r="F56" s="71"/>
      <c r="G56" s="72"/>
    </row>
    <row r="57" spans="2:7">
      <c r="B57" s="70"/>
      <c r="C57" s="71"/>
      <c r="D57" s="71"/>
      <c r="E57" s="71"/>
      <c r="F57" s="71"/>
      <c r="G57" s="72"/>
    </row>
    <row r="58" spans="2:7">
      <c r="B58" s="73"/>
      <c r="C58" s="74"/>
      <c r="D58" s="74"/>
      <c r="E58" s="74"/>
      <c r="F58" s="74"/>
      <c r="G58" s="75"/>
    </row>
    <row r="59" spans="2:7">
      <c r="B59" s="22"/>
    </row>
    <row r="61" spans="2:7">
      <c r="B61" s="22" t="s">
        <v>250</v>
      </c>
    </row>
    <row r="62" spans="2:7">
      <c r="B62" s="67" t="s">
        <v>251</v>
      </c>
      <c r="C62" s="68"/>
      <c r="D62" s="68"/>
      <c r="E62" s="68"/>
      <c r="F62" s="68"/>
      <c r="G62" s="69"/>
    </row>
    <row r="63" spans="2:7">
      <c r="B63" s="70"/>
      <c r="C63" s="71"/>
      <c r="D63" s="71"/>
      <c r="E63" s="71"/>
      <c r="F63" s="71"/>
      <c r="G63" s="72"/>
    </row>
    <row r="64" spans="2:7">
      <c r="B64" s="70"/>
      <c r="C64" s="71"/>
      <c r="D64" s="71"/>
      <c r="E64" s="71"/>
      <c r="F64" s="71"/>
      <c r="G64" s="72"/>
    </row>
    <row r="65" spans="2:7">
      <c r="B65" s="70"/>
      <c r="C65" s="71"/>
      <c r="D65" s="71"/>
      <c r="E65" s="71"/>
      <c r="F65" s="71"/>
      <c r="G65" s="72"/>
    </row>
    <row r="66" spans="2:7">
      <c r="B66" s="70"/>
      <c r="C66" s="71"/>
      <c r="D66" s="71"/>
      <c r="E66" s="71"/>
      <c r="F66" s="71"/>
      <c r="G66" s="72"/>
    </row>
    <row r="67" spans="2:7">
      <c r="B67" s="70"/>
      <c r="C67" s="71"/>
      <c r="D67" s="71"/>
      <c r="E67" s="71"/>
      <c r="F67" s="71"/>
      <c r="G67" s="72"/>
    </row>
    <row r="68" spans="2:7">
      <c r="B68" s="70"/>
      <c r="C68" s="71"/>
      <c r="D68" s="71"/>
      <c r="E68" s="71"/>
      <c r="F68" s="71"/>
      <c r="G68" s="72"/>
    </row>
    <row r="69" spans="2:7">
      <c r="B69" s="70"/>
      <c r="C69" s="71"/>
      <c r="D69" s="71"/>
      <c r="E69" s="71"/>
      <c r="F69" s="71"/>
      <c r="G69" s="72"/>
    </row>
    <row r="70" spans="2:7">
      <c r="B70" s="73"/>
      <c r="C70" s="74"/>
      <c r="D70" s="74"/>
      <c r="E70" s="74"/>
      <c r="F70" s="74"/>
      <c r="G70" s="75"/>
    </row>
    <row r="73" spans="2:7">
      <c r="B73" s="11" t="s">
        <v>252</v>
      </c>
    </row>
    <row r="74" spans="2:7">
      <c r="B74" s="76" t="s">
        <v>253</v>
      </c>
      <c r="C74" s="77"/>
      <c r="D74" s="77"/>
      <c r="E74" s="77"/>
      <c r="F74" s="77"/>
      <c r="G74" s="78"/>
    </row>
    <row r="75" spans="2:7">
      <c r="B75" s="79"/>
      <c r="C75" s="80"/>
      <c r="D75" s="80"/>
      <c r="E75" s="80"/>
      <c r="F75" s="80"/>
      <c r="G75" s="81"/>
    </row>
    <row r="76" spans="2:7">
      <c r="B76" s="82"/>
      <c r="C76" s="83"/>
      <c r="D76" s="83"/>
      <c r="E76" s="83"/>
      <c r="F76" s="83"/>
      <c r="G76" s="84"/>
    </row>
  </sheetData>
  <sheetProtection sheet="1" objects="1" scenarios="1" selectLockedCells="1"/>
  <mergeCells count="4">
    <mergeCell ref="A1:B2"/>
    <mergeCell ref="B50:G58"/>
    <mergeCell ref="B62:G70"/>
    <mergeCell ref="B74:G76"/>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1479E-33FD-2E41-890E-2BA408EDCEED}">
  <sheetPr codeName="Sheet16"/>
  <dimension ref="A1:H76"/>
  <sheetViews>
    <sheetView zoomScale="125" workbookViewId="0">
      <selection activeCell="G4" sqref="G4"/>
    </sheetView>
  </sheetViews>
  <sheetFormatPr defaultColWidth="10.875" defaultRowHeight="15.6"/>
  <cols>
    <col min="1" max="1" width="16.625" style="11" customWidth="1"/>
    <col min="2" max="2" width="32.5" style="11" customWidth="1"/>
    <col min="3" max="6" width="14.625" style="11" customWidth="1"/>
    <col min="7" max="7" width="15.375" style="11" customWidth="1"/>
    <col min="8" max="8" width="18" style="11" customWidth="1"/>
    <col min="9" max="9" width="16.5" style="11" bestFit="1" customWidth="1"/>
    <col min="10" max="16384" width="10.875" style="11"/>
  </cols>
  <sheetData>
    <row r="1" spans="1:8">
      <c r="A1" s="66" t="s">
        <v>219</v>
      </c>
      <c r="B1" s="66"/>
    </row>
    <row r="2" spans="1:8" ht="33" customHeight="1">
      <c r="A2" s="66"/>
      <c r="B2" s="66"/>
    </row>
    <row r="4" spans="1:8">
      <c r="H4" s="29" t="s">
        <v>220</v>
      </c>
    </row>
    <row r="5" spans="1:8">
      <c r="B5" s="11" t="s">
        <v>221</v>
      </c>
      <c r="C5" s="11">
        <v>1</v>
      </c>
      <c r="D5" s="11">
        <v>2</v>
      </c>
      <c r="G5" s="11" t="s">
        <v>222</v>
      </c>
      <c r="H5" s="5">
        <f>'P&amp;L Target Year'!H7</f>
        <v>3</v>
      </c>
    </row>
    <row r="6" spans="1:8">
      <c r="G6" s="11" t="s">
        <v>223</v>
      </c>
    </row>
    <row r="7" spans="1:8">
      <c r="C7" s="12" t="s">
        <v>197</v>
      </c>
    </row>
    <row r="8" spans="1:8">
      <c r="B8" s="30" t="s">
        <v>224</v>
      </c>
      <c r="C8" s="5">
        <f>C10+C11</f>
        <v>0</v>
      </c>
      <c r="D8" s="5">
        <f>D10+D11</f>
        <v>0</v>
      </c>
      <c r="E8" s="5">
        <f>E10+E11</f>
        <v>0</v>
      </c>
      <c r="F8" s="5">
        <f>F10+F11</f>
        <v>0</v>
      </c>
      <c r="H8" s="5">
        <f>H10+H11</f>
        <v>63663.6</v>
      </c>
    </row>
    <row r="9" spans="1:8">
      <c r="B9" s="31"/>
    </row>
    <row r="10" spans="1:8">
      <c r="B10" s="31" t="s">
        <v>217</v>
      </c>
      <c r="C10" s="14"/>
      <c r="D10" s="14"/>
      <c r="E10" s="14"/>
      <c r="F10" s="14"/>
      <c r="H10" s="5">
        <f>'P&amp;L Target Year'!C33</f>
        <v>63663.6</v>
      </c>
    </row>
    <row r="11" spans="1:8">
      <c r="B11" s="31" t="s">
        <v>225</v>
      </c>
      <c r="C11" s="14"/>
      <c r="D11" s="14"/>
      <c r="E11" s="14"/>
      <c r="F11" s="14"/>
      <c r="H11" s="5">
        <f>'P&amp;L Target Year'!C25</f>
        <v>0</v>
      </c>
    </row>
    <row r="12" spans="1:8">
      <c r="B12" s="31"/>
    </row>
    <row r="13" spans="1:8">
      <c r="B13" s="30" t="s">
        <v>226</v>
      </c>
      <c r="C13" s="5">
        <f>C15+C16</f>
        <v>0</v>
      </c>
      <c r="D13" s="5">
        <f>D15+D16</f>
        <v>0</v>
      </c>
      <c r="E13" s="5">
        <f>E15+E16</f>
        <v>0</v>
      </c>
      <c r="F13" s="5">
        <f>F15+F16</f>
        <v>0</v>
      </c>
      <c r="H13" s="5">
        <f>H15+H16</f>
        <v>0</v>
      </c>
    </row>
    <row r="14" spans="1:8">
      <c r="B14" s="31"/>
    </row>
    <row r="15" spans="1:8">
      <c r="B15" s="31" t="s">
        <v>227</v>
      </c>
      <c r="C15" s="14"/>
      <c r="D15" s="14"/>
      <c r="E15" s="14"/>
      <c r="F15" s="14"/>
      <c r="H15" s="14"/>
    </row>
    <row r="16" spans="1:8">
      <c r="B16" s="31" t="s">
        <v>228</v>
      </c>
      <c r="C16" s="14"/>
      <c r="D16" s="14"/>
      <c r="E16" s="14"/>
      <c r="F16" s="14"/>
      <c r="H16" s="14"/>
    </row>
    <row r="18" spans="2:8">
      <c r="B18" s="30" t="s">
        <v>229</v>
      </c>
      <c r="C18" s="5">
        <f>SUM(C20:C23)</f>
        <v>0</v>
      </c>
      <c r="D18" s="5">
        <f>SUM(D20:D23)</f>
        <v>0</v>
      </c>
      <c r="E18" s="5">
        <f>SUM(E20:E23)</f>
        <v>0</v>
      </c>
      <c r="F18" s="5">
        <f>SUM(F20:F23)</f>
        <v>0</v>
      </c>
      <c r="H18" s="5">
        <f>SUM(H20:H23)</f>
        <v>0</v>
      </c>
    </row>
    <row r="19" spans="2:8">
      <c r="B19" s="31"/>
    </row>
    <row r="20" spans="2:8">
      <c r="B20" s="31" t="s">
        <v>230</v>
      </c>
      <c r="C20" s="14"/>
      <c r="D20" s="14"/>
      <c r="E20" s="14"/>
      <c r="F20" s="14"/>
      <c r="H20" s="14"/>
    </row>
    <row r="21" spans="2:8">
      <c r="B21" s="31" t="s">
        <v>231</v>
      </c>
      <c r="C21" s="14"/>
      <c r="D21" s="14"/>
      <c r="E21" s="14"/>
      <c r="F21" s="14"/>
      <c r="H21" s="14"/>
    </row>
    <row r="22" spans="2:8">
      <c r="B22" s="31" t="s">
        <v>232</v>
      </c>
      <c r="C22" s="14"/>
      <c r="D22" s="14"/>
      <c r="E22" s="14"/>
      <c r="F22" s="14"/>
      <c r="H22" s="14"/>
    </row>
    <row r="23" spans="2:8">
      <c r="B23" s="31" t="s">
        <v>233</v>
      </c>
      <c r="C23" s="14"/>
      <c r="D23" s="14"/>
      <c r="E23" s="14"/>
      <c r="F23" s="14"/>
      <c r="H23" s="14"/>
    </row>
    <row r="24" spans="2:8">
      <c r="B24" s="31"/>
    </row>
    <row r="25" spans="2:8">
      <c r="B25" s="30" t="s">
        <v>234</v>
      </c>
      <c r="C25" s="5">
        <f>C8+C13+C18</f>
        <v>0</v>
      </c>
      <c r="D25" s="5">
        <f>D8+D13+D18</f>
        <v>0</v>
      </c>
      <c r="E25" s="5">
        <f>E8+E13+E18</f>
        <v>0</v>
      </c>
      <c r="F25" s="5">
        <f>F8+F13+F18</f>
        <v>0</v>
      </c>
      <c r="H25" s="5">
        <f>H8+H13+H18</f>
        <v>63663.6</v>
      </c>
    </row>
    <row r="26" spans="2:8">
      <c r="B26" s="31"/>
    </row>
    <row r="27" spans="2:8" ht="16.149999999999999" thickBot="1">
      <c r="B27" s="32" t="s">
        <v>235</v>
      </c>
      <c r="C27" s="35">
        <f>C25</f>
        <v>0</v>
      </c>
      <c r="D27" s="35">
        <f>C27+D25</f>
        <v>0</v>
      </c>
      <c r="E27" s="35">
        <f>D27+E25</f>
        <v>0</v>
      </c>
      <c r="F27" s="35">
        <f>D27+F25</f>
        <v>0</v>
      </c>
      <c r="H27" s="33" t="s">
        <v>236</v>
      </c>
    </row>
    <row r="28" spans="2:8" ht="16.149999999999999" thickTop="1"/>
    <row r="30" spans="2:8">
      <c r="B30" s="30" t="s">
        <v>237</v>
      </c>
    </row>
    <row r="31" spans="2:8">
      <c r="B31" s="31" t="s">
        <v>238</v>
      </c>
      <c r="C31" s="14"/>
      <c r="D31" s="14"/>
      <c r="E31" s="14"/>
      <c r="F31" s="14"/>
    </row>
    <row r="32" spans="2:8">
      <c r="B32" s="11" t="s">
        <v>239</v>
      </c>
      <c r="C32" s="21"/>
      <c r="D32" s="21"/>
      <c r="E32" s="21"/>
      <c r="F32" s="21"/>
    </row>
    <row r="33" spans="2:7">
      <c r="B33" s="11" t="s">
        <v>240</v>
      </c>
      <c r="C33" s="21"/>
      <c r="D33" s="21"/>
      <c r="E33" s="21"/>
      <c r="F33" s="21"/>
    </row>
    <row r="34" spans="2:7">
      <c r="B34" s="11" t="s">
        <v>241</v>
      </c>
      <c r="C34" s="21"/>
      <c r="D34" s="21"/>
      <c r="E34" s="21"/>
      <c r="F34" s="21"/>
    </row>
    <row r="35" spans="2:7">
      <c r="B35" s="24" t="s">
        <v>242</v>
      </c>
      <c r="C35" s="21"/>
      <c r="D35" s="21"/>
      <c r="E35" s="21"/>
      <c r="F35" s="21"/>
    </row>
    <row r="36" spans="2:7">
      <c r="B36" s="24" t="s">
        <v>242</v>
      </c>
      <c r="C36" s="21"/>
      <c r="D36" s="21"/>
      <c r="E36" s="21"/>
      <c r="F36" s="21"/>
    </row>
    <row r="37" spans="2:7">
      <c r="B37" s="24" t="s">
        <v>242</v>
      </c>
      <c r="C37" s="21"/>
      <c r="D37" s="21"/>
      <c r="E37" s="21"/>
      <c r="F37" s="21"/>
    </row>
    <row r="39" spans="2:7">
      <c r="B39" s="34" t="s">
        <v>243</v>
      </c>
    </row>
    <row r="41" spans="2:7">
      <c r="B41" s="11" t="s">
        <v>244</v>
      </c>
    </row>
    <row r="43" spans="2:7">
      <c r="C43" s="11" t="s">
        <v>245</v>
      </c>
    </row>
    <row r="44" spans="2:7">
      <c r="B44" s="11" t="s">
        <v>246</v>
      </c>
      <c r="C44" s="14"/>
    </row>
    <row r="46" spans="2:7">
      <c r="B46" s="11" t="s">
        <v>247</v>
      </c>
      <c r="C46" s="14"/>
    </row>
    <row r="47" spans="2:7">
      <c r="B47" s="31"/>
      <c r="C47" s="31"/>
      <c r="D47" s="31"/>
      <c r="E47" s="31"/>
      <c r="F47" s="31"/>
      <c r="G47" s="31"/>
    </row>
    <row r="48" spans="2:7">
      <c r="B48" s="31"/>
      <c r="C48" s="31"/>
      <c r="D48" s="31"/>
      <c r="E48" s="31"/>
      <c r="F48" s="31"/>
      <c r="G48" s="31"/>
    </row>
    <row r="49" spans="2:8">
      <c r="B49" s="22" t="s">
        <v>248</v>
      </c>
    </row>
    <row r="50" spans="2:8">
      <c r="B50" s="67" t="s">
        <v>249</v>
      </c>
      <c r="C50" s="68"/>
      <c r="D50" s="68"/>
      <c r="E50" s="68"/>
      <c r="F50" s="68"/>
      <c r="G50" s="68"/>
      <c r="H50" s="69"/>
    </row>
    <row r="51" spans="2:8">
      <c r="B51" s="70"/>
      <c r="C51" s="71"/>
      <c r="D51" s="71"/>
      <c r="E51" s="71"/>
      <c r="F51" s="71"/>
      <c r="G51" s="71"/>
      <c r="H51" s="72"/>
    </row>
    <row r="52" spans="2:8">
      <c r="B52" s="70"/>
      <c r="C52" s="71"/>
      <c r="D52" s="71"/>
      <c r="E52" s="71"/>
      <c r="F52" s="71"/>
      <c r="G52" s="71"/>
      <c r="H52" s="72"/>
    </row>
    <row r="53" spans="2:8">
      <c r="B53" s="70"/>
      <c r="C53" s="71"/>
      <c r="D53" s="71"/>
      <c r="E53" s="71"/>
      <c r="F53" s="71"/>
      <c r="G53" s="71"/>
      <c r="H53" s="72"/>
    </row>
    <row r="54" spans="2:8">
      <c r="B54" s="70"/>
      <c r="C54" s="71"/>
      <c r="D54" s="71"/>
      <c r="E54" s="71"/>
      <c r="F54" s="71"/>
      <c r="G54" s="71"/>
      <c r="H54" s="72"/>
    </row>
    <row r="55" spans="2:8">
      <c r="B55" s="70"/>
      <c r="C55" s="71"/>
      <c r="D55" s="71"/>
      <c r="E55" s="71"/>
      <c r="F55" s="71"/>
      <c r="G55" s="71"/>
      <c r="H55" s="72"/>
    </row>
    <row r="56" spans="2:8">
      <c r="B56" s="70"/>
      <c r="C56" s="71"/>
      <c r="D56" s="71"/>
      <c r="E56" s="71"/>
      <c r="F56" s="71"/>
      <c r="G56" s="71"/>
      <c r="H56" s="72"/>
    </row>
    <row r="57" spans="2:8">
      <c r="B57" s="70"/>
      <c r="C57" s="71"/>
      <c r="D57" s="71"/>
      <c r="E57" s="71"/>
      <c r="F57" s="71"/>
      <c r="G57" s="71"/>
      <c r="H57" s="72"/>
    </row>
    <row r="58" spans="2:8">
      <c r="B58" s="73"/>
      <c r="C58" s="74"/>
      <c r="D58" s="74"/>
      <c r="E58" s="74"/>
      <c r="F58" s="74"/>
      <c r="G58" s="74"/>
      <c r="H58" s="75"/>
    </row>
    <row r="59" spans="2:8">
      <c r="B59" s="22"/>
    </row>
    <row r="61" spans="2:8">
      <c r="B61" s="22" t="s">
        <v>250</v>
      </c>
    </row>
    <row r="62" spans="2:8">
      <c r="B62" s="67" t="s">
        <v>251</v>
      </c>
      <c r="C62" s="68"/>
      <c r="D62" s="68"/>
      <c r="E62" s="68"/>
      <c r="F62" s="68"/>
      <c r="G62" s="68"/>
      <c r="H62" s="69"/>
    </row>
    <row r="63" spans="2:8">
      <c r="B63" s="70"/>
      <c r="C63" s="71"/>
      <c r="D63" s="71"/>
      <c r="E63" s="71"/>
      <c r="F63" s="71"/>
      <c r="G63" s="71"/>
      <c r="H63" s="72"/>
    </row>
    <row r="64" spans="2:8">
      <c r="B64" s="70"/>
      <c r="C64" s="71"/>
      <c r="D64" s="71"/>
      <c r="E64" s="71"/>
      <c r="F64" s="71"/>
      <c r="G64" s="71"/>
      <c r="H64" s="72"/>
    </row>
    <row r="65" spans="2:8">
      <c r="B65" s="70"/>
      <c r="C65" s="71"/>
      <c r="D65" s="71"/>
      <c r="E65" s="71"/>
      <c r="F65" s="71"/>
      <c r="G65" s="71"/>
      <c r="H65" s="72"/>
    </row>
    <row r="66" spans="2:8">
      <c r="B66" s="70"/>
      <c r="C66" s="71"/>
      <c r="D66" s="71"/>
      <c r="E66" s="71"/>
      <c r="F66" s="71"/>
      <c r="G66" s="71"/>
      <c r="H66" s="72"/>
    </row>
    <row r="67" spans="2:8">
      <c r="B67" s="70"/>
      <c r="C67" s="71"/>
      <c r="D67" s="71"/>
      <c r="E67" s="71"/>
      <c r="F67" s="71"/>
      <c r="G67" s="71"/>
      <c r="H67" s="72"/>
    </row>
    <row r="68" spans="2:8">
      <c r="B68" s="70"/>
      <c r="C68" s="71"/>
      <c r="D68" s="71"/>
      <c r="E68" s="71"/>
      <c r="F68" s="71"/>
      <c r="G68" s="71"/>
      <c r="H68" s="72"/>
    </row>
    <row r="69" spans="2:8">
      <c r="B69" s="70"/>
      <c r="C69" s="71"/>
      <c r="D69" s="71"/>
      <c r="E69" s="71"/>
      <c r="F69" s="71"/>
      <c r="G69" s="71"/>
      <c r="H69" s="72"/>
    </row>
    <row r="70" spans="2:8">
      <c r="B70" s="73"/>
      <c r="C70" s="74"/>
      <c r="D70" s="74"/>
      <c r="E70" s="74"/>
      <c r="F70" s="74"/>
      <c r="G70" s="74"/>
      <c r="H70" s="75"/>
    </row>
    <row r="73" spans="2:8">
      <c r="B73" s="11" t="s">
        <v>252</v>
      </c>
    </row>
    <row r="74" spans="2:8">
      <c r="B74" s="76" t="s">
        <v>253</v>
      </c>
      <c r="C74" s="77"/>
      <c r="D74" s="77"/>
      <c r="E74" s="77"/>
      <c r="F74" s="77"/>
      <c r="G74" s="77"/>
      <c r="H74" s="78"/>
    </row>
    <row r="75" spans="2:8">
      <c r="B75" s="79"/>
      <c r="C75" s="80"/>
      <c r="D75" s="80"/>
      <c r="E75" s="80"/>
      <c r="F75" s="80"/>
      <c r="G75" s="80"/>
      <c r="H75" s="81"/>
    </row>
    <row r="76" spans="2:8">
      <c r="B76" s="82"/>
      <c r="C76" s="83"/>
      <c r="D76" s="83"/>
      <c r="E76" s="83"/>
      <c r="F76" s="83"/>
      <c r="G76" s="83"/>
      <c r="H76" s="84"/>
    </row>
  </sheetData>
  <sheetProtection sheet="1" objects="1" scenarios="1" selectLockedCells="1"/>
  <mergeCells count="4">
    <mergeCell ref="A1:B2"/>
    <mergeCell ref="B50:H58"/>
    <mergeCell ref="B62:H70"/>
    <mergeCell ref="B74:H76"/>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9071-A64A-E04A-86A4-203EEDD5249A}">
  <sheetPr codeName="Sheet17"/>
  <dimension ref="A1:I76"/>
  <sheetViews>
    <sheetView zoomScale="125" workbookViewId="0">
      <selection activeCell="G4" sqref="G4"/>
    </sheetView>
  </sheetViews>
  <sheetFormatPr defaultColWidth="10.875" defaultRowHeight="15.6"/>
  <cols>
    <col min="1" max="1" width="16.625" style="11" customWidth="1"/>
    <col min="2" max="2" width="32.5" style="11" customWidth="1"/>
    <col min="3" max="7" width="14.625" style="11" customWidth="1"/>
    <col min="8" max="8" width="15.375" style="11" customWidth="1"/>
    <col min="9" max="9" width="18" style="11" customWidth="1"/>
    <col min="10" max="10" width="16.5" style="11" bestFit="1" customWidth="1"/>
    <col min="11" max="16384" width="10.875" style="11"/>
  </cols>
  <sheetData>
    <row r="1" spans="1:9">
      <c r="A1" s="66" t="s">
        <v>219</v>
      </c>
      <c r="B1" s="66"/>
    </row>
    <row r="2" spans="1:9" ht="33" customHeight="1">
      <c r="A2" s="66"/>
      <c r="B2" s="66"/>
    </row>
    <row r="4" spans="1:9">
      <c r="I4" s="29" t="s">
        <v>220</v>
      </c>
    </row>
    <row r="5" spans="1:9">
      <c r="B5" s="11" t="s">
        <v>221</v>
      </c>
      <c r="C5" s="11">
        <v>1</v>
      </c>
      <c r="D5" s="11">
        <v>2</v>
      </c>
      <c r="H5" s="11" t="s">
        <v>222</v>
      </c>
      <c r="I5" s="5">
        <f>'P&amp;L Target Year'!H7</f>
        <v>3</v>
      </c>
    </row>
    <row r="6" spans="1:9">
      <c r="H6" s="11" t="s">
        <v>223</v>
      </c>
    </row>
    <row r="7" spans="1:9">
      <c r="C7" s="12" t="s">
        <v>197</v>
      </c>
    </row>
    <row r="8" spans="1:9">
      <c r="B8" s="30" t="s">
        <v>224</v>
      </c>
      <c r="C8" s="5">
        <f>C10+C11</f>
        <v>0</v>
      </c>
      <c r="D8" s="5">
        <f>D10+D11</f>
        <v>0</v>
      </c>
      <c r="E8" s="5">
        <f>E10+E11</f>
        <v>0</v>
      </c>
      <c r="F8" s="5">
        <f>F10+F11</f>
        <v>0</v>
      </c>
      <c r="G8" s="5">
        <f>G10+G11</f>
        <v>0</v>
      </c>
      <c r="I8" s="5">
        <f>I10+I11</f>
        <v>63663.6</v>
      </c>
    </row>
    <row r="9" spans="1:9">
      <c r="B9" s="31"/>
    </row>
    <row r="10" spans="1:9">
      <c r="B10" s="31" t="s">
        <v>217</v>
      </c>
      <c r="C10" s="14"/>
      <c r="D10" s="14"/>
      <c r="E10" s="14"/>
      <c r="F10" s="14"/>
      <c r="G10" s="14"/>
      <c r="I10" s="5">
        <f>'P&amp;L Target Year'!C33</f>
        <v>63663.6</v>
      </c>
    </row>
    <row r="11" spans="1:9">
      <c r="B11" s="31" t="s">
        <v>225</v>
      </c>
      <c r="C11" s="14"/>
      <c r="D11" s="14"/>
      <c r="E11" s="14"/>
      <c r="F11" s="14"/>
      <c r="G11" s="14"/>
      <c r="I11" s="5">
        <f>'P&amp;L Target Year'!C25</f>
        <v>0</v>
      </c>
    </row>
    <row r="12" spans="1:9">
      <c r="B12" s="31"/>
    </row>
    <row r="13" spans="1:9">
      <c r="B13" s="30" t="s">
        <v>226</v>
      </c>
      <c r="C13" s="5">
        <f>C15+C16</f>
        <v>0</v>
      </c>
      <c r="D13" s="5">
        <f>D15+D16</f>
        <v>0</v>
      </c>
      <c r="E13" s="5">
        <f>E15+E16</f>
        <v>0</v>
      </c>
      <c r="F13" s="5">
        <f>F15+F16</f>
        <v>0</v>
      </c>
      <c r="G13" s="5">
        <f>G15+G16</f>
        <v>0</v>
      </c>
      <c r="I13" s="5">
        <f>I15+I16</f>
        <v>0</v>
      </c>
    </row>
    <row r="14" spans="1:9">
      <c r="B14" s="31"/>
    </row>
    <row r="15" spans="1:9">
      <c r="B15" s="31" t="s">
        <v>227</v>
      </c>
      <c r="C15" s="14"/>
      <c r="D15" s="14"/>
      <c r="E15" s="14"/>
      <c r="F15" s="14"/>
      <c r="G15" s="14"/>
      <c r="I15" s="14"/>
    </row>
    <row r="16" spans="1:9">
      <c r="B16" s="31" t="s">
        <v>228</v>
      </c>
      <c r="C16" s="14"/>
      <c r="D16" s="14"/>
      <c r="E16" s="14"/>
      <c r="F16" s="14"/>
      <c r="G16" s="14"/>
      <c r="I16" s="14"/>
    </row>
    <row r="18" spans="2:9">
      <c r="B18" s="30" t="s">
        <v>229</v>
      </c>
      <c r="C18" s="5">
        <f>SUM(C20:C23)</f>
        <v>0</v>
      </c>
      <c r="D18" s="5">
        <f>SUM(D20:D23)</f>
        <v>0</v>
      </c>
      <c r="E18" s="5">
        <f>SUM(E20:E23)</f>
        <v>0</v>
      </c>
      <c r="F18" s="5">
        <f>SUM(F20:F23)</f>
        <v>0</v>
      </c>
      <c r="G18" s="5">
        <f>SUM(G20:G23)</f>
        <v>0</v>
      </c>
      <c r="I18" s="5">
        <f>SUM(I20:I23)</f>
        <v>0</v>
      </c>
    </row>
    <row r="19" spans="2:9">
      <c r="B19" s="31"/>
    </row>
    <row r="20" spans="2:9">
      <c r="B20" s="31" t="s">
        <v>230</v>
      </c>
      <c r="C20" s="14"/>
      <c r="D20" s="14"/>
      <c r="E20" s="14"/>
      <c r="F20" s="14"/>
      <c r="G20" s="14"/>
      <c r="I20" s="14"/>
    </row>
    <row r="21" spans="2:9">
      <c r="B21" s="31" t="s">
        <v>231</v>
      </c>
      <c r="C21" s="14"/>
      <c r="D21" s="14"/>
      <c r="E21" s="14"/>
      <c r="F21" s="14"/>
      <c r="G21" s="14"/>
      <c r="I21" s="14"/>
    </row>
    <row r="22" spans="2:9">
      <c r="B22" s="31" t="s">
        <v>232</v>
      </c>
      <c r="C22" s="14"/>
      <c r="D22" s="14"/>
      <c r="E22" s="14"/>
      <c r="F22" s="14"/>
      <c r="G22" s="14"/>
      <c r="I22" s="14"/>
    </row>
    <row r="23" spans="2:9">
      <c r="B23" s="31" t="s">
        <v>233</v>
      </c>
      <c r="C23" s="14"/>
      <c r="D23" s="14"/>
      <c r="E23" s="14"/>
      <c r="F23" s="14"/>
      <c r="G23" s="14"/>
      <c r="I23" s="14"/>
    </row>
    <row r="24" spans="2:9">
      <c r="B24" s="31"/>
    </row>
    <row r="25" spans="2:9">
      <c r="B25" s="30" t="s">
        <v>234</v>
      </c>
      <c r="C25" s="5">
        <f>C8+C13+C18</f>
        <v>0</v>
      </c>
      <c r="D25" s="5">
        <f>D8+D13+D18</f>
        <v>0</v>
      </c>
      <c r="E25" s="5">
        <f>E8+E13+E18</f>
        <v>0</v>
      </c>
      <c r="F25" s="5">
        <f>F8+F13+F18</f>
        <v>0</v>
      </c>
      <c r="G25" s="5">
        <f>G8+G13+G18</f>
        <v>0</v>
      </c>
      <c r="I25" s="5">
        <f>I8+I13+I18</f>
        <v>63663.6</v>
      </c>
    </row>
    <row r="26" spans="2:9">
      <c r="B26" s="31"/>
    </row>
    <row r="27" spans="2:9" ht="16.149999999999999" thickBot="1">
      <c r="B27" s="32" t="s">
        <v>235</v>
      </c>
      <c r="C27" s="35">
        <f>C25</f>
        <v>0</v>
      </c>
      <c r="D27" s="35">
        <f>C27+D25</f>
        <v>0</v>
      </c>
      <c r="E27" s="35">
        <f>D27+E25</f>
        <v>0</v>
      </c>
      <c r="F27" s="35">
        <f>D27+F25</f>
        <v>0</v>
      </c>
      <c r="G27" s="35">
        <f>D27+G25</f>
        <v>0</v>
      </c>
      <c r="I27" s="33" t="s">
        <v>236</v>
      </c>
    </row>
    <row r="28" spans="2:9" ht="16.149999999999999" thickTop="1"/>
    <row r="30" spans="2:9">
      <c r="B30" s="30" t="s">
        <v>237</v>
      </c>
    </row>
    <row r="31" spans="2:9">
      <c r="B31" s="31" t="s">
        <v>238</v>
      </c>
      <c r="C31" s="14"/>
      <c r="D31" s="14"/>
      <c r="E31" s="14"/>
      <c r="F31" s="14"/>
      <c r="G31" s="14"/>
    </row>
    <row r="32" spans="2:9">
      <c r="B32" s="11" t="s">
        <v>239</v>
      </c>
      <c r="C32" s="21"/>
      <c r="D32" s="21"/>
      <c r="E32" s="21"/>
      <c r="F32" s="21"/>
      <c r="G32" s="21"/>
    </row>
    <row r="33" spans="2:8">
      <c r="B33" s="11" t="s">
        <v>240</v>
      </c>
      <c r="C33" s="21"/>
      <c r="D33" s="21"/>
      <c r="E33" s="21"/>
      <c r="F33" s="21"/>
      <c r="G33" s="21"/>
    </row>
    <row r="34" spans="2:8">
      <c r="B34" s="11" t="s">
        <v>241</v>
      </c>
      <c r="C34" s="21"/>
      <c r="D34" s="21"/>
      <c r="E34" s="21"/>
      <c r="F34" s="21"/>
      <c r="G34" s="21"/>
    </row>
    <row r="35" spans="2:8">
      <c r="B35" s="24" t="s">
        <v>242</v>
      </c>
      <c r="C35" s="21"/>
      <c r="D35" s="21"/>
      <c r="E35" s="21"/>
      <c r="F35" s="21"/>
      <c r="G35" s="21"/>
    </row>
    <row r="36" spans="2:8">
      <c r="B36" s="24" t="s">
        <v>242</v>
      </c>
      <c r="C36" s="21"/>
      <c r="D36" s="21"/>
      <c r="E36" s="21"/>
      <c r="F36" s="21"/>
      <c r="G36" s="21"/>
    </row>
    <row r="37" spans="2:8">
      <c r="B37" s="24" t="s">
        <v>242</v>
      </c>
      <c r="C37" s="21"/>
      <c r="D37" s="21"/>
      <c r="E37" s="21"/>
      <c r="F37" s="21"/>
      <c r="G37" s="21"/>
    </row>
    <row r="39" spans="2:8">
      <c r="B39" s="34" t="s">
        <v>243</v>
      </c>
    </row>
    <row r="41" spans="2:8">
      <c r="B41" s="11" t="s">
        <v>244</v>
      </c>
    </row>
    <row r="43" spans="2:8">
      <c r="C43" s="11" t="s">
        <v>245</v>
      </c>
    </row>
    <row r="44" spans="2:8">
      <c r="B44" s="11" t="s">
        <v>246</v>
      </c>
      <c r="C44" s="14"/>
    </row>
    <row r="46" spans="2:8">
      <c r="B46" s="11" t="s">
        <v>247</v>
      </c>
      <c r="C46" s="14"/>
    </row>
    <row r="47" spans="2:8">
      <c r="B47" s="31"/>
      <c r="C47" s="31"/>
      <c r="D47" s="31"/>
      <c r="E47" s="31"/>
      <c r="F47" s="31"/>
      <c r="G47" s="31"/>
      <c r="H47" s="31"/>
    </row>
    <row r="48" spans="2:8">
      <c r="B48" s="31"/>
      <c r="C48" s="31"/>
      <c r="D48" s="31"/>
      <c r="E48" s="31"/>
      <c r="F48" s="31"/>
      <c r="G48" s="31"/>
      <c r="H48" s="31"/>
    </row>
    <row r="49" spans="2:9">
      <c r="B49" s="22" t="s">
        <v>248</v>
      </c>
    </row>
    <row r="50" spans="2:9">
      <c r="B50" s="67" t="s">
        <v>249</v>
      </c>
      <c r="C50" s="68"/>
      <c r="D50" s="68"/>
      <c r="E50" s="68"/>
      <c r="F50" s="68"/>
      <c r="G50" s="68"/>
      <c r="H50" s="68"/>
      <c r="I50" s="69"/>
    </row>
    <row r="51" spans="2:9">
      <c r="B51" s="70"/>
      <c r="C51" s="71"/>
      <c r="D51" s="71"/>
      <c r="E51" s="71"/>
      <c r="F51" s="71"/>
      <c r="G51" s="71"/>
      <c r="H51" s="71"/>
      <c r="I51" s="72"/>
    </row>
    <row r="52" spans="2:9">
      <c r="B52" s="70"/>
      <c r="C52" s="71"/>
      <c r="D52" s="71"/>
      <c r="E52" s="71"/>
      <c r="F52" s="71"/>
      <c r="G52" s="71"/>
      <c r="H52" s="71"/>
      <c r="I52" s="72"/>
    </row>
    <row r="53" spans="2:9">
      <c r="B53" s="70"/>
      <c r="C53" s="71"/>
      <c r="D53" s="71"/>
      <c r="E53" s="71"/>
      <c r="F53" s="71"/>
      <c r="G53" s="71"/>
      <c r="H53" s="71"/>
      <c r="I53" s="72"/>
    </row>
    <row r="54" spans="2:9">
      <c r="B54" s="70"/>
      <c r="C54" s="71"/>
      <c r="D54" s="71"/>
      <c r="E54" s="71"/>
      <c r="F54" s="71"/>
      <c r="G54" s="71"/>
      <c r="H54" s="71"/>
      <c r="I54" s="72"/>
    </row>
    <row r="55" spans="2:9">
      <c r="B55" s="70"/>
      <c r="C55" s="71"/>
      <c r="D55" s="71"/>
      <c r="E55" s="71"/>
      <c r="F55" s="71"/>
      <c r="G55" s="71"/>
      <c r="H55" s="71"/>
      <c r="I55" s="72"/>
    </row>
    <row r="56" spans="2:9">
      <c r="B56" s="70"/>
      <c r="C56" s="71"/>
      <c r="D56" s="71"/>
      <c r="E56" s="71"/>
      <c r="F56" s="71"/>
      <c r="G56" s="71"/>
      <c r="H56" s="71"/>
      <c r="I56" s="72"/>
    </row>
    <row r="57" spans="2:9">
      <c r="B57" s="70"/>
      <c r="C57" s="71"/>
      <c r="D57" s="71"/>
      <c r="E57" s="71"/>
      <c r="F57" s="71"/>
      <c r="G57" s="71"/>
      <c r="H57" s="71"/>
      <c r="I57" s="72"/>
    </row>
    <row r="58" spans="2:9">
      <c r="B58" s="73"/>
      <c r="C58" s="74"/>
      <c r="D58" s="74"/>
      <c r="E58" s="74"/>
      <c r="F58" s="74"/>
      <c r="G58" s="74"/>
      <c r="H58" s="74"/>
      <c r="I58" s="75"/>
    </row>
    <row r="59" spans="2:9">
      <c r="B59" s="22"/>
    </row>
    <row r="61" spans="2:9">
      <c r="B61" s="22" t="s">
        <v>250</v>
      </c>
    </row>
    <row r="62" spans="2:9">
      <c r="B62" s="67" t="s">
        <v>251</v>
      </c>
      <c r="C62" s="68"/>
      <c r="D62" s="68"/>
      <c r="E62" s="68"/>
      <c r="F62" s="68"/>
      <c r="G62" s="68"/>
      <c r="H62" s="68"/>
      <c r="I62" s="69"/>
    </row>
    <row r="63" spans="2:9">
      <c r="B63" s="70"/>
      <c r="C63" s="71"/>
      <c r="D63" s="71"/>
      <c r="E63" s="71"/>
      <c r="F63" s="71"/>
      <c r="G63" s="71"/>
      <c r="H63" s="71"/>
      <c r="I63" s="72"/>
    </row>
    <row r="64" spans="2:9">
      <c r="B64" s="70"/>
      <c r="C64" s="71"/>
      <c r="D64" s="71"/>
      <c r="E64" s="71"/>
      <c r="F64" s="71"/>
      <c r="G64" s="71"/>
      <c r="H64" s="71"/>
      <c r="I64" s="72"/>
    </row>
    <row r="65" spans="2:9">
      <c r="B65" s="70"/>
      <c r="C65" s="71"/>
      <c r="D65" s="71"/>
      <c r="E65" s="71"/>
      <c r="F65" s="71"/>
      <c r="G65" s="71"/>
      <c r="H65" s="71"/>
      <c r="I65" s="72"/>
    </row>
    <row r="66" spans="2:9">
      <c r="B66" s="70"/>
      <c r="C66" s="71"/>
      <c r="D66" s="71"/>
      <c r="E66" s="71"/>
      <c r="F66" s="71"/>
      <c r="G66" s="71"/>
      <c r="H66" s="71"/>
      <c r="I66" s="72"/>
    </row>
    <row r="67" spans="2:9">
      <c r="B67" s="70"/>
      <c r="C67" s="71"/>
      <c r="D67" s="71"/>
      <c r="E67" s="71"/>
      <c r="F67" s="71"/>
      <c r="G67" s="71"/>
      <c r="H67" s="71"/>
      <c r="I67" s="72"/>
    </row>
    <row r="68" spans="2:9">
      <c r="B68" s="70"/>
      <c r="C68" s="71"/>
      <c r="D68" s="71"/>
      <c r="E68" s="71"/>
      <c r="F68" s="71"/>
      <c r="G68" s="71"/>
      <c r="H68" s="71"/>
      <c r="I68" s="72"/>
    </row>
    <row r="69" spans="2:9">
      <c r="B69" s="70"/>
      <c r="C69" s="71"/>
      <c r="D69" s="71"/>
      <c r="E69" s="71"/>
      <c r="F69" s="71"/>
      <c r="G69" s="71"/>
      <c r="H69" s="71"/>
      <c r="I69" s="72"/>
    </row>
    <row r="70" spans="2:9">
      <c r="B70" s="73"/>
      <c r="C70" s="74"/>
      <c r="D70" s="74"/>
      <c r="E70" s="74"/>
      <c r="F70" s="74"/>
      <c r="G70" s="74"/>
      <c r="H70" s="74"/>
      <c r="I70" s="75"/>
    </row>
    <row r="73" spans="2:9">
      <c r="B73" s="11" t="s">
        <v>252</v>
      </c>
    </row>
    <row r="74" spans="2:9">
      <c r="B74" s="76" t="s">
        <v>253</v>
      </c>
      <c r="C74" s="77"/>
      <c r="D74" s="77"/>
      <c r="E74" s="77"/>
      <c r="F74" s="77"/>
      <c r="G74" s="77"/>
      <c r="H74" s="77"/>
      <c r="I74" s="78"/>
    </row>
    <row r="75" spans="2:9">
      <c r="B75" s="79"/>
      <c r="C75" s="80"/>
      <c r="D75" s="80"/>
      <c r="E75" s="80"/>
      <c r="F75" s="80"/>
      <c r="G75" s="80"/>
      <c r="H75" s="80"/>
      <c r="I75" s="81"/>
    </row>
    <row r="76" spans="2:9">
      <c r="B76" s="82"/>
      <c r="C76" s="83"/>
      <c r="D76" s="83"/>
      <c r="E76" s="83"/>
      <c r="F76" s="83"/>
      <c r="G76" s="83"/>
      <c r="H76" s="83"/>
      <c r="I76" s="84"/>
    </row>
  </sheetData>
  <sheetProtection sheet="1" objects="1" scenarios="1" selectLockedCells="1"/>
  <mergeCells count="4">
    <mergeCell ref="A1:B2"/>
    <mergeCell ref="B50:I58"/>
    <mergeCell ref="B62:I70"/>
    <mergeCell ref="B74:I76"/>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B809D-373E-F042-BC2E-DA06C56CC168}">
  <sheetPr codeName="Sheet18"/>
  <dimension ref="A1:J76"/>
  <sheetViews>
    <sheetView zoomScale="125" workbookViewId="0">
      <selection activeCell="G4" sqref="G4"/>
    </sheetView>
  </sheetViews>
  <sheetFormatPr defaultColWidth="10.875" defaultRowHeight="15.6"/>
  <cols>
    <col min="1" max="1" width="16.625" style="11" customWidth="1"/>
    <col min="2" max="2" width="32.5" style="11" customWidth="1"/>
    <col min="3" max="8" width="14.625" style="11" customWidth="1"/>
    <col min="9" max="9" width="15.375" style="11" customWidth="1"/>
    <col min="10" max="10" width="18" style="11" customWidth="1"/>
    <col min="11" max="11" width="16.5" style="11" bestFit="1" customWidth="1"/>
    <col min="12" max="16384" width="10.875" style="11"/>
  </cols>
  <sheetData>
    <row r="1" spans="1:10">
      <c r="A1" s="66" t="s">
        <v>219</v>
      </c>
      <c r="B1" s="66"/>
    </row>
    <row r="2" spans="1:10" ht="33" customHeight="1">
      <c r="A2" s="66"/>
      <c r="B2" s="66"/>
    </row>
    <row r="4" spans="1:10">
      <c r="J4" s="29" t="s">
        <v>220</v>
      </c>
    </row>
    <row r="5" spans="1:10">
      <c r="B5" s="11" t="s">
        <v>221</v>
      </c>
      <c r="C5" s="11">
        <v>1</v>
      </c>
      <c r="D5" s="11">
        <v>2</v>
      </c>
      <c r="I5" s="11" t="s">
        <v>222</v>
      </c>
      <c r="J5" s="5">
        <f>'P&amp;L Target Year'!H7</f>
        <v>3</v>
      </c>
    </row>
    <row r="6" spans="1:10">
      <c r="I6" s="11" t="s">
        <v>223</v>
      </c>
    </row>
    <row r="7" spans="1:10">
      <c r="C7" s="12" t="s">
        <v>197</v>
      </c>
    </row>
    <row r="8" spans="1:10">
      <c r="B8" s="30" t="s">
        <v>224</v>
      </c>
      <c r="C8" s="5">
        <f t="shared" ref="C8:H8" si="0">C10+C11</f>
        <v>0</v>
      </c>
      <c r="D8" s="5">
        <f t="shared" si="0"/>
        <v>0</v>
      </c>
      <c r="E8" s="5">
        <f t="shared" si="0"/>
        <v>0</v>
      </c>
      <c r="F8" s="5">
        <f t="shared" si="0"/>
        <v>0</v>
      </c>
      <c r="G8" s="5">
        <f t="shared" si="0"/>
        <v>0</v>
      </c>
      <c r="H8" s="5">
        <f t="shared" si="0"/>
        <v>0</v>
      </c>
      <c r="J8" s="5">
        <f>J10+J11</f>
        <v>63663.6</v>
      </c>
    </row>
    <row r="9" spans="1:10">
      <c r="B9" s="31"/>
    </row>
    <row r="10" spans="1:10">
      <c r="B10" s="31" t="s">
        <v>217</v>
      </c>
      <c r="C10" s="14"/>
      <c r="D10" s="14"/>
      <c r="E10" s="14"/>
      <c r="F10" s="14"/>
      <c r="G10" s="14"/>
      <c r="H10" s="14"/>
      <c r="J10" s="5">
        <f>'P&amp;L Target Year'!C33</f>
        <v>63663.6</v>
      </c>
    </row>
    <row r="11" spans="1:10">
      <c r="B11" s="31" t="s">
        <v>225</v>
      </c>
      <c r="C11" s="14"/>
      <c r="D11" s="14"/>
      <c r="E11" s="14"/>
      <c r="F11" s="14"/>
      <c r="G11" s="14"/>
      <c r="H11" s="14"/>
      <c r="J11" s="5">
        <f>'P&amp;L Target Year'!C25</f>
        <v>0</v>
      </c>
    </row>
    <row r="12" spans="1:10">
      <c r="B12" s="31"/>
    </row>
    <row r="13" spans="1:10">
      <c r="B13" s="30" t="s">
        <v>226</v>
      </c>
      <c r="C13" s="5">
        <f t="shared" ref="C13:H13" si="1">C15+C16</f>
        <v>0</v>
      </c>
      <c r="D13" s="5">
        <f t="shared" si="1"/>
        <v>0</v>
      </c>
      <c r="E13" s="5">
        <f t="shared" si="1"/>
        <v>0</v>
      </c>
      <c r="F13" s="5">
        <f t="shared" si="1"/>
        <v>0</v>
      </c>
      <c r="G13" s="5">
        <f t="shared" si="1"/>
        <v>0</v>
      </c>
      <c r="H13" s="5">
        <f t="shared" si="1"/>
        <v>0</v>
      </c>
      <c r="J13" s="5">
        <f>J15+J16</f>
        <v>0</v>
      </c>
    </row>
    <row r="14" spans="1:10">
      <c r="B14" s="31"/>
    </row>
    <row r="15" spans="1:10">
      <c r="B15" s="31" t="s">
        <v>227</v>
      </c>
      <c r="C15" s="14"/>
      <c r="D15" s="14"/>
      <c r="E15" s="14"/>
      <c r="F15" s="14"/>
      <c r="G15" s="14"/>
      <c r="H15" s="14"/>
      <c r="J15" s="14"/>
    </row>
    <row r="16" spans="1:10">
      <c r="B16" s="31" t="s">
        <v>228</v>
      </c>
      <c r="C16" s="14"/>
      <c r="D16" s="14"/>
      <c r="E16" s="14"/>
      <c r="F16" s="14"/>
      <c r="G16" s="14"/>
      <c r="H16" s="14"/>
      <c r="J16" s="14"/>
    </row>
    <row r="18" spans="2:10">
      <c r="B18" s="30" t="s">
        <v>229</v>
      </c>
      <c r="C18" s="5">
        <f t="shared" ref="C18:H18" si="2">SUM(C20:C23)</f>
        <v>0</v>
      </c>
      <c r="D18" s="5">
        <f t="shared" si="2"/>
        <v>0</v>
      </c>
      <c r="E18" s="5">
        <f t="shared" si="2"/>
        <v>0</v>
      </c>
      <c r="F18" s="5">
        <f t="shared" si="2"/>
        <v>0</v>
      </c>
      <c r="G18" s="5">
        <f t="shared" si="2"/>
        <v>0</v>
      </c>
      <c r="H18" s="5">
        <f t="shared" si="2"/>
        <v>0</v>
      </c>
      <c r="J18" s="5">
        <f>SUM(J20:J23)</f>
        <v>0</v>
      </c>
    </row>
    <row r="19" spans="2:10">
      <c r="B19" s="31"/>
    </row>
    <row r="20" spans="2:10">
      <c r="B20" s="31" t="s">
        <v>230</v>
      </c>
      <c r="C20" s="14"/>
      <c r="D20" s="14"/>
      <c r="E20" s="14"/>
      <c r="F20" s="14"/>
      <c r="G20" s="14"/>
      <c r="H20" s="14"/>
      <c r="J20" s="14"/>
    </row>
    <row r="21" spans="2:10">
      <c r="B21" s="31" t="s">
        <v>231</v>
      </c>
      <c r="C21" s="14"/>
      <c r="D21" s="14"/>
      <c r="E21" s="14"/>
      <c r="F21" s="14"/>
      <c r="G21" s="14"/>
      <c r="H21" s="14"/>
      <c r="J21" s="14"/>
    </row>
    <row r="22" spans="2:10">
      <c r="B22" s="31" t="s">
        <v>232</v>
      </c>
      <c r="C22" s="14"/>
      <c r="D22" s="14"/>
      <c r="E22" s="14"/>
      <c r="F22" s="14"/>
      <c r="G22" s="14"/>
      <c r="H22" s="14"/>
      <c r="J22" s="14"/>
    </row>
    <row r="23" spans="2:10">
      <c r="B23" s="31" t="s">
        <v>233</v>
      </c>
      <c r="C23" s="14"/>
      <c r="D23" s="14"/>
      <c r="E23" s="14"/>
      <c r="F23" s="14"/>
      <c r="G23" s="14"/>
      <c r="H23" s="14"/>
      <c r="J23" s="14"/>
    </row>
    <row r="24" spans="2:10">
      <c r="B24" s="31"/>
    </row>
    <row r="25" spans="2:10">
      <c r="B25" s="30" t="s">
        <v>234</v>
      </c>
      <c r="C25" s="5">
        <f t="shared" ref="C25:H25" si="3">C8+C13+C18</f>
        <v>0</v>
      </c>
      <c r="D25" s="5">
        <f t="shared" si="3"/>
        <v>0</v>
      </c>
      <c r="E25" s="5">
        <f t="shared" si="3"/>
        <v>0</v>
      </c>
      <c r="F25" s="5">
        <f t="shared" si="3"/>
        <v>0</v>
      </c>
      <c r="G25" s="5">
        <f t="shared" si="3"/>
        <v>0</v>
      </c>
      <c r="H25" s="5">
        <f t="shared" si="3"/>
        <v>0</v>
      </c>
      <c r="J25" s="5">
        <f>J8+J13+J18</f>
        <v>63663.6</v>
      </c>
    </row>
    <row r="26" spans="2:10">
      <c r="B26" s="31"/>
    </row>
    <row r="27" spans="2:10" ht="16.149999999999999" thickBot="1">
      <c r="B27" s="32" t="s">
        <v>235</v>
      </c>
      <c r="C27" s="35">
        <f>C25</f>
        <v>0</v>
      </c>
      <c r="D27" s="35">
        <f>C27+D25</f>
        <v>0</v>
      </c>
      <c r="E27" s="35">
        <f>D27+E25</f>
        <v>0</v>
      </c>
      <c r="F27" s="35">
        <f>D27+F25</f>
        <v>0</v>
      </c>
      <c r="G27" s="35">
        <f>D27+G25</f>
        <v>0</v>
      </c>
      <c r="H27" s="35">
        <f>D27+H25</f>
        <v>0</v>
      </c>
      <c r="J27" s="33" t="s">
        <v>236</v>
      </c>
    </row>
    <row r="28" spans="2:10" ht="16.149999999999999" thickTop="1"/>
    <row r="30" spans="2:10">
      <c r="B30" s="30" t="s">
        <v>237</v>
      </c>
    </row>
    <row r="31" spans="2:10">
      <c r="B31" s="31" t="s">
        <v>238</v>
      </c>
      <c r="C31" s="14"/>
      <c r="D31" s="14"/>
      <c r="E31" s="14"/>
      <c r="F31" s="14"/>
      <c r="G31" s="14"/>
      <c r="H31" s="14"/>
    </row>
    <row r="32" spans="2:10">
      <c r="B32" s="11" t="s">
        <v>239</v>
      </c>
      <c r="C32" s="21"/>
      <c r="D32" s="21"/>
      <c r="E32" s="21"/>
      <c r="F32" s="21"/>
      <c r="G32" s="21"/>
      <c r="H32" s="21"/>
    </row>
    <row r="33" spans="2:9">
      <c r="B33" s="11" t="s">
        <v>240</v>
      </c>
      <c r="C33" s="21"/>
      <c r="D33" s="21"/>
      <c r="E33" s="21"/>
      <c r="F33" s="21"/>
      <c r="G33" s="21"/>
      <c r="H33" s="21"/>
    </row>
    <row r="34" spans="2:9">
      <c r="B34" s="11" t="s">
        <v>241</v>
      </c>
      <c r="C34" s="21"/>
      <c r="D34" s="21"/>
      <c r="E34" s="21"/>
      <c r="F34" s="21"/>
      <c r="G34" s="21"/>
      <c r="H34" s="21"/>
    </row>
    <row r="35" spans="2:9">
      <c r="B35" s="24" t="s">
        <v>242</v>
      </c>
      <c r="C35" s="21"/>
      <c r="D35" s="21"/>
      <c r="E35" s="21"/>
      <c r="F35" s="21"/>
      <c r="G35" s="21"/>
      <c r="H35" s="21"/>
    </row>
    <row r="36" spans="2:9">
      <c r="B36" s="24" t="s">
        <v>242</v>
      </c>
      <c r="C36" s="21"/>
      <c r="D36" s="21"/>
      <c r="E36" s="21"/>
      <c r="F36" s="21"/>
      <c r="G36" s="21"/>
      <c r="H36" s="21"/>
    </row>
    <row r="37" spans="2:9">
      <c r="B37" s="24" t="s">
        <v>242</v>
      </c>
      <c r="C37" s="21"/>
      <c r="D37" s="21"/>
      <c r="E37" s="21"/>
      <c r="F37" s="21"/>
      <c r="G37" s="21"/>
      <c r="H37" s="21"/>
    </row>
    <row r="39" spans="2:9">
      <c r="B39" s="34" t="s">
        <v>243</v>
      </c>
    </row>
    <row r="41" spans="2:9">
      <c r="B41" s="11" t="s">
        <v>244</v>
      </c>
    </row>
    <row r="43" spans="2:9">
      <c r="C43" s="11" t="s">
        <v>245</v>
      </c>
    </row>
    <row r="44" spans="2:9">
      <c r="B44" s="11" t="s">
        <v>246</v>
      </c>
      <c r="C44" s="14"/>
    </row>
    <row r="46" spans="2:9">
      <c r="B46" s="11" t="s">
        <v>247</v>
      </c>
      <c r="C46" s="14"/>
    </row>
    <row r="47" spans="2:9">
      <c r="B47" s="31"/>
      <c r="C47" s="31"/>
      <c r="D47" s="31"/>
      <c r="E47" s="31"/>
      <c r="F47" s="31"/>
      <c r="G47" s="31"/>
      <c r="H47" s="31"/>
      <c r="I47" s="31"/>
    </row>
    <row r="48" spans="2:9">
      <c r="B48" s="31"/>
      <c r="C48" s="31"/>
      <c r="D48" s="31"/>
      <c r="E48" s="31"/>
      <c r="F48" s="31"/>
      <c r="G48" s="31"/>
      <c r="H48" s="31"/>
      <c r="I48" s="31"/>
    </row>
    <row r="49" spans="2:10">
      <c r="B49" s="22" t="s">
        <v>248</v>
      </c>
    </row>
    <row r="50" spans="2:10">
      <c r="B50" s="67" t="s">
        <v>249</v>
      </c>
      <c r="C50" s="68"/>
      <c r="D50" s="68"/>
      <c r="E50" s="68"/>
      <c r="F50" s="68"/>
      <c r="G50" s="68"/>
      <c r="H50" s="68"/>
      <c r="I50" s="68"/>
      <c r="J50" s="69"/>
    </row>
    <row r="51" spans="2:10">
      <c r="B51" s="70"/>
      <c r="C51" s="71"/>
      <c r="D51" s="71"/>
      <c r="E51" s="71"/>
      <c r="F51" s="71"/>
      <c r="G51" s="71"/>
      <c r="H51" s="71"/>
      <c r="I51" s="71"/>
      <c r="J51" s="72"/>
    </row>
    <row r="52" spans="2:10">
      <c r="B52" s="70"/>
      <c r="C52" s="71"/>
      <c r="D52" s="71"/>
      <c r="E52" s="71"/>
      <c r="F52" s="71"/>
      <c r="G52" s="71"/>
      <c r="H52" s="71"/>
      <c r="I52" s="71"/>
      <c r="J52" s="72"/>
    </row>
    <row r="53" spans="2:10">
      <c r="B53" s="70"/>
      <c r="C53" s="71"/>
      <c r="D53" s="71"/>
      <c r="E53" s="71"/>
      <c r="F53" s="71"/>
      <c r="G53" s="71"/>
      <c r="H53" s="71"/>
      <c r="I53" s="71"/>
      <c r="J53" s="72"/>
    </row>
    <row r="54" spans="2:10">
      <c r="B54" s="70"/>
      <c r="C54" s="71"/>
      <c r="D54" s="71"/>
      <c r="E54" s="71"/>
      <c r="F54" s="71"/>
      <c r="G54" s="71"/>
      <c r="H54" s="71"/>
      <c r="I54" s="71"/>
      <c r="J54" s="72"/>
    </row>
    <row r="55" spans="2:10">
      <c r="B55" s="70"/>
      <c r="C55" s="71"/>
      <c r="D55" s="71"/>
      <c r="E55" s="71"/>
      <c r="F55" s="71"/>
      <c r="G55" s="71"/>
      <c r="H55" s="71"/>
      <c r="I55" s="71"/>
      <c r="J55" s="72"/>
    </row>
    <row r="56" spans="2:10">
      <c r="B56" s="70"/>
      <c r="C56" s="71"/>
      <c r="D56" s="71"/>
      <c r="E56" s="71"/>
      <c r="F56" s="71"/>
      <c r="G56" s="71"/>
      <c r="H56" s="71"/>
      <c r="I56" s="71"/>
      <c r="J56" s="72"/>
    </row>
    <row r="57" spans="2:10">
      <c r="B57" s="70"/>
      <c r="C57" s="71"/>
      <c r="D57" s="71"/>
      <c r="E57" s="71"/>
      <c r="F57" s="71"/>
      <c r="G57" s="71"/>
      <c r="H57" s="71"/>
      <c r="I57" s="71"/>
      <c r="J57" s="72"/>
    </row>
    <row r="58" spans="2:10">
      <c r="B58" s="73"/>
      <c r="C58" s="74"/>
      <c r="D58" s="74"/>
      <c r="E58" s="74"/>
      <c r="F58" s="74"/>
      <c r="G58" s="74"/>
      <c r="H58" s="74"/>
      <c r="I58" s="74"/>
      <c r="J58" s="75"/>
    </row>
    <row r="59" spans="2:10">
      <c r="B59" s="22"/>
    </row>
    <row r="61" spans="2:10">
      <c r="B61" s="22" t="s">
        <v>250</v>
      </c>
    </row>
    <row r="62" spans="2:10">
      <c r="B62" s="67" t="s">
        <v>251</v>
      </c>
      <c r="C62" s="68"/>
      <c r="D62" s="68"/>
      <c r="E62" s="68"/>
      <c r="F62" s="68"/>
      <c r="G62" s="68"/>
      <c r="H62" s="68"/>
      <c r="I62" s="68"/>
      <c r="J62" s="69"/>
    </row>
    <row r="63" spans="2:10">
      <c r="B63" s="70"/>
      <c r="C63" s="71"/>
      <c r="D63" s="71"/>
      <c r="E63" s="71"/>
      <c r="F63" s="71"/>
      <c r="G63" s="71"/>
      <c r="H63" s="71"/>
      <c r="I63" s="71"/>
      <c r="J63" s="72"/>
    </row>
    <row r="64" spans="2:10">
      <c r="B64" s="70"/>
      <c r="C64" s="71"/>
      <c r="D64" s="71"/>
      <c r="E64" s="71"/>
      <c r="F64" s="71"/>
      <c r="G64" s="71"/>
      <c r="H64" s="71"/>
      <c r="I64" s="71"/>
      <c r="J64" s="72"/>
    </row>
    <row r="65" spans="2:10">
      <c r="B65" s="70"/>
      <c r="C65" s="71"/>
      <c r="D65" s="71"/>
      <c r="E65" s="71"/>
      <c r="F65" s="71"/>
      <c r="G65" s="71"/>
      <c r="H65" s="71"/>
      <c r="I65" s="71"/>
      <c r="J65" s="72"/>
    </row>
    <row r="66" spans="2:10">
      <c r="B66" s="70"/>
      <c r="C66" s="71"/>
      <c r="D66" s="71"/>
      <c r="E66" s="71"/>
      <c r="F66" s="71"/>
      <c r="G66" s="71"/>
      <c r="H66" s="71"/>
      <c r="I66" s="71"/>
      <c r="J66" s="72"/>
    </row>
    <row r="67" spans="2:10">
      <c r="B67" s="70"/>
      <c r="C67" s="71"/>
      <c r="D67" s="71"/>
      <c r="E67" s="71"/>
      <c r="F67" s="71"/>
      <c r="G67" s="71"/>
      <c r="H67" s="71"/>
      <c r="I67" s="71"/>
      <c r="J67" s="72"/>
    </row>
    <row r="68" spans="2:10">
      <c r="B68" s="70"/>
      <c r="C68" s="71"/>
      <c r="D68" s="71"/>
      <c r="E68" s="71"/>
      <c r="F68" s="71"/>
      <c r="G68" s="71"/>
      <c r="H68" s="71"/>
      <c r="I68" s="71"/>
      <c r="J68" s="72"/>
    </row>
    <row r="69" spans="2:10">
      <c r="B69" s="70"/>
      <c r="C69" s="71"/>
      <c r="D69" s="71"/>
      <c r="E69" s="71"/>
      <c r="F69" s="71"/>
      <c r="G69" s="71"/>
      <c r="H69" s="71"/>
      <c r="I69" s="71"/>
      <c r="J69" s="72"/>
    </row>
    <row r="70" spans="2:10">
      <c r="B70" s="73"/>
      <c r="C70" s="74"/>
      <c r="D70" s="74"/>
      <c r="E70" s="74"/>
      <c r="F70" s="74"/>
      <c r="G70" s="74"/>
      <c r="H70" s="74"/>
      <c r="I70" s="74"/>
      <c r="J70" s="75"/>
    </row>
    <row r="73" spans="2:10">
      <c r="B73" s="11" t="s">
        <v>252</v>
      </c>
    </row>
    <row r="74" spans="2:10">
      <c r="B74" s="76" t="s">
        <v>253</v>
      </c>
      <c r="C74" s="77"/>
      <c r="D74" s="77"/>
      <c r="E74" s="77"/>
      <c r="F74" s="77"/>
      <c r="G74" s="77"/>
      <c r="H74" s="77"/>
      <c r="I74" s="77"/>
      <c r="J74" s="78"/>
    </row>
    <row r="75" spans="2:10">
      <c r="B75" s="79"/>
      <c r="C75" s="80"/>
      <c r="D75" s="80"/>
      <c r="E75" s="80"/>
      <c r="F75" s="80"/>
      <c r="G75" s="80"/>
      <c r="H75" s="80"/>
      <c r="I75" s="80"/>
      <c r="J75" s="81"/>
    </row>
    <row r="76" spans="2:10">
      <c r="B76" s="82"/>
      <c r="C76" s="83"/>
      <c r="D76" s="83"/>
      <c r="E76" s="83"/>
      <c r="F76" s="83"/>
      <c r="G76" s="83"/>
      <c r="H76" s="83"/>
      <c r="I76" s="83"/>
      <c r="J76" s="84"/>
    </row>
  </sheetData>
  <sheetProtection sheet="1" objects="1" scenarios="1" selectLockedCells="1"/>
  <mergeCells count="4">
    <mergeCell ref="A1:B2"/>
    <mergeCell ref="B50:J58"/>
    <mergeCell ref="B62:J70"/>
    <mergeCell ref="B74:J76"/>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702E-3177-9343-8045-32BFE4F9B658}">
  <sheetPr codeName="Sheet4"/>
  <dimension ref="A1"/>
  <sheetViews>
    <sheetView workbookViewId="0">
      <selection activeCell="J54" sqref="J54"/>
    </sheetView>
  </sheetViews>
  <sheetFormatPr defaultColWidth="11" defaultRowHeight="15.6"/>
  <sheetData>
    <row r="1" spans="1:1">
      <c r="A1" t="s">
        <v>254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ce029e0-afc5-439a-a046-f6c046a5374b">
      <Terms xmlns="http://schemas.microsoft.com/office/infopath/2007/PartnerControls"/>
    </lcf76f155ced4ddcb4097134ff3c332f>
    <TaxCatchAll xmlns="2d5a9d48-3f59-4696-9c3b-1ca31e229e6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4872658EF092644ADD2A4D25A43E11A" ma:contentTypeVersion="10" ma:contentTypeDescription="Een nieuw document maken." ma:contentTypeScope="" ma:versionID="2815479035396c9179d0e4ea50443046">
  <xsd:schema xmlns:xsd="http://www.w3.org/2001/XMLSchema" xmlns:xs="http://www.w3.org/2001/XMLSchema" xmlns:p="http://schemas.microsoft.com/office/2006/metadata/properties" xmlns:ns2="2ce029e0-afc5-439a-a046-f6c046a5374b" xmlns:ns3="2d5a9d48-3f59-4696-9c3b-1ca31e229e68" targetNamespace="http://schemas.microsoft.com/office/2006/metadata/properties" ma:root="true" ma:fieldsID="2f1bd439982bec10092629b4c1f53984" ns2:_="" ns3:_="">
    <xsd:import namespace="2ce029e0-afc5-439a-a046-f6c046a5374b"/>
    <xsd:import namespace="2d5a9d48-3f59-4696-9c3b-1ca31e229e6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029e0-afc5-439a-a046-f6c046a537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0d2f2e1c-c095-4710-afda-8e7acdb0334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d5a9d48-3f59-4696-9c3b-1ca31e229e6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14f3402-c1fe-4bdd-ae5d-f27668387f07}" ma:internalName="TaxCatchAll" ma:showField="CatchAllData" ma:web="2d5a9d48-3f59-4696-9c3b-1ca31e229e6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965B3E-6995-4FAC-ABBC-7E8444F58B6B}"/>
</file>

<file path=customXml/itemProps2.xml><?xml version="1.0" encoding="utf-8"?>
<ds:datastoreItem xmlns:ds="http://schemas.openxmlformats.org/officeDocument/2006/customXml" ds:itemID="{81A3B712-0CC5-4A4E-9B41-99536E3C1D2A}"/>
</file>

<file path=customXml/itemProps3.xml><?xml version="1.0" encoding="utf-8"?>
<ds:datastoreItem xmlns:ds="http://schemas.openxmlformats.org/officeDocument/2006/customXml" ds:itemID="{D51EBA10-7500-4ED2-86A7-758AF9945D7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Guilherme Castro Lima da Silva</cp:lastModifiedBy>
  <cp:revision/>
  <dcterms:created xsi:type="dcterms:W3CDTF">2020-10-30T14:24:25Z</dcterms:created>
  <dcterms:modified xsi:type="dcterms:W3CDTF">2026-04-29T11:02:31Z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0x01010044872658EF092644ADD2A4D25A43E11A</vt:lpwstr>
  </property>
  <property fmtid="{D5CDD505-2E9C-101B-9397-08002B2CF9AE}" pid="3" name="MediaServiceImageTags">
    <vt:lpwstr/>
  </property>
</Properties>
</file>