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365.sharepoint.com/sites/edu-DSE-2025-2026-Q4/Gedeelde documenten/Students/04_Final_Report/"/>
    </mc:Choice>
  </mc:AlternateContent>
  <xr:revisionPtr revIDLastSave="498" documentId="120_S{DD033BFA-6081-5EFD-B003-BC1CC7534096}" xr6:coauthVersionLast="47" xr6:coauthVersionMax="47" xr10:uidLastSave="{61AE3F18-116A-4DDE-8217-36D81828FF92}"/>
  <bookViews>
    <workbookView xWindow="-108" yWindow="-108" windowWidth="30936" windowHeight="19416" activeTab="2" xr2:uid="{00000000-000D-0000-FFFF-FFFF00000000}"/>
  </bookViews>
  <sheets>
    <sheet name="Electronic and Propulsion" sheetId="1" r:id="rId1"/>
    <sheet name="Sensors" sheetId="6" r:id="rId2"/>
    <sheet name="Reliability" sheetId="2" r:id="rId3"/>
    <sheet name="Availability" sheetId="3" r:id="rId4"/>
    <sheet name="Maintainability" sheetId="4" r:id="rId5"/>
    <sheet name="Safety" sheetId="5" r:id="rId6"/>
    <sheet name="Sheet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1" l="1"/>
  <c r="F21" i="1"/>
  <c r="E10" i="6"/>
  <c r="E9" i="6"/>
  <c r="L38" i="1"/>
  <c r="M36" i="1"/>
  <c r="N36" i="1" s="1"/>
  <c r="K37" i="1"/>
  <c r="K34" i="1"/>
  <c r="K36" i="1"/>
  <c r="K35" i="1"/>
  <c r="K33" i="1"/>
  <c r="E11" i="1"/>
  <c r="E12" i="1"/>
  <c r="G30" i="1"/>
  <c r="E8" i="6"/>
  <c r="E7" i="6"/>
  <c r="E6" i="6"/>
  <c r="E3" i="1"/>
  <c r="E17" i="1"/>
  <c r="G6" i="1"/>
  <c r="G5" i="1"/>
  <c r="E19" i="1"/>
  <c r="E15" i="1"/>
  <c r="E16" i="1"/>
  <c r="E14" i="1"/>
  <c r="E7" i="1"/>
  <c r="E8" i="1"/>
  <c r="E9" i="1"/>
  <c r="E10" i="1"/>
  <c r="E5" i="1"/>
  <c r="E6" i="1"/>
  <c r="E23" i="1" l="1"/>
  <c r="G23" i="1"/>
  <c r="G24" i="1" s="1"/>
  <c r="C27" i="1" l="1"/>
  <c r="E24" i="1"/>
  <c r="C28" i="1" s="1"/>
</calcChain>
</file>

<file path=xl/sharedStrings.xml><?xml version="1.0" encoding="utf-8"?>
<sst xmlns="http://schemas.openxmlformats.org/spreadsheetml/2006/main" count="289" uniqueCount="187">
  <si>
    <t>Item</t>
  </si>
  <si>
    <t>Nr of units</t>
  </si>
  <si>
    <t>Weight [g]</t>
  </si>
  <si>
    <t>Weight comp[g]</t>
  </si>
  <si>
    <t>Dimensions [mm]</t>
  </si>
  <si>
    <t>Power used[W]</t>
  </si>
  <si>
    <t>Power Produced [W]</t>
  </si>
  <si>
    <t>Voltage range(rated)[V]</t>
  </si>
  <si>
    <t>Current peak[A]</t>
  </si>
  <si>
    <t>Current rated[A]</t>
  </si>
  <si>
    <t>Source</t>
  </si>
  <si>
    <t>Column1</t>
  </si>
  <si>
    <t>Column2</t>
  </si>
  <si>
    <t>Column3</t>
  </si>
  <si>
    <t>Column4</t>
  </si>
  <si>
    <t>Column5</t>
  </si>
  <si>
    <t>Column6</t>
  </si>
  <si>
    <t>Column7</t>
  </si>
  <si>
    <t>Battery</t>
  </si>
  <si>
    <t>160 x 138x 75</t>
  </si>
  <si>
    <t>https://www.nkon.nl/en/molicel-inr21700-m65a-6500mah-26a.html</t>
  </si>
  <si>
    <t>Wires</t>
  </si>
  <si>
    <t>0,33 kg/1000ft</t>
  </si>
  <si>
    <t>-</t>
  </si>
  <si>
    <t>https://www.awcwire.com/product/55a0111-30</t>
  </si>
  <si>
    <t>Rotary actuators</t>
  </si>
  <si>
    <t>41.5 mm x 45.5 mm x 22.0 mm</t>
  </si>
  <si>
    <t>DA 22 • Volz Servos</t>
  </si>
  <si>
    <t>Linear actuators</t>
  </si>
  <si>
    <t>380 x90 x 150</t>
  </si>
  <si>
    <t>https://www.amazon.nl/-/en/Jvnvlki-Waterproof-Actuator-Mounting-Automation/dp/B0FZJYXJWR/ref=sr_1_9?crid=2FMWMEU4N4I3H&amp;dib=eyJ2IjoiMSJ9.UWLefBI9ej2hJtgpS7s9rahhAgBKJKMrz2Y0uoDWpqcKmJdnZV_Y70U-ke9_wpZVgkkHv_7XkQ0HqsqYCaPHhr9UCWmNq3DaILQo2Y5Evc0oVWboFnk1x-o36sMPohqzzPBHCgdvHF0vTJX6x-v_Ul4CQjUgSZSbk2WNoch9I_zxLobwNUy5hvk8Dbq0oceLn158yMdSwsVl-V8TtVb8Y1lLGdy1T1V-zxnD8VxtJvh336cZFwvBImbR9caz9Sjey71o2cm6Ord4OSipIGKSrR--sZvAfp02yPnTUJfIfiM.avRGjIZKozDa6yVOx_XZbclH7SGY2c19b5B_1g5-X1w&amp;dib_tag=se&amp;keywords=linear%2Bactuator&amp;qid=1779800655&amp;sprefix=linear%2Bac%2Caps%2C127&amp;sr=8-9&amp;th=1</t>
  </si>
  <si>
    <t>Autopilot</t>
  </si>
  <si>
    <t>45.0 x 68.0 x 74.5</t>
  </si>
  <si>
    <t>https://www.uavnavigation.com/products/autopilots/vector-600</t>
  </si>
  <si>
    <t>SATA SSD</t>
  </si>
  <si>
    <t>69.9 x 100 x 7</t>
  </si>
  <si>
    <t>https://www.coolblue.nl/product/876119/samsung-870-evo-2-5-inch-250gb.html?cmt=c_a%2Ccid_18700235651%2Caid_140074569742%2Ctid_pla-305108688942%2Cgn_g%2Cd_c&amp;utm_source=google&amp;utm_medium=cpc&amp;utm_content=shopping&amp;gad_source=1&amp;gad_campaignid=18700235651&amp;gbraid=0AAAAAD7_VIaCQRykG5pfpIKB-WnbN-j-d&amp;gclid=CjwKCAjwidXQBhAZEiwA4egw6CM_3-4BXG2sYpd-tOqW_tq83ZNq510QsGgvJcAx5nkhNAVEKXwgrRoClCYQAvD_BwE</t>
  </si>
  <si>
    <t>RM 1000/2000/3000 SERIES</t>
  </si>
  <si>
    <t>150 × 100 × 40</t>
  </si>
  <si>
    <t>https://www.wavenetradio.com/en/projects/rm-1000-2000-3000-2/</t>
  </si>
  <si>
    <t>Flight companion</t>
  </si>
  <si>
    <t>https://www.uavnavigation.com/products/mission-control-computer/vector-mcc</t>
  </si>
  <si>
    <t>Antennas</t>
  </si>
  <si>
    <t>https://docs.rs-online.com/7fff/A700000014453610.pdf</t>
  </si>
  <si>
    <t>PDU</t>
  </si>
  <si>
    <t>150x155x105</t>
  </si>
  <si>
    <t>https://www.brancaro.com/product/power-distribution-unit/</t>
  </si>
  <si>
    <t>Propulsion System</t>
  </si>
  <si>
    <t>https://www.jetcat.de/jetcat/Bedienungsanleitung/Strahlturbinen_DE_JetCat_RX_%20120218.pdf</t>
  </si>
  <si>
    <t>Engine (max power at start up)</t>
  </si>
  <si>
    <t>97 x 241</t>
  </si>
  <si>
    <t>http://modelaircraftcompany.com/newshop/en/turbine-accessories/540-jet-cat-ecu-v100-electronic-control-unit-for-turbines.html</t>
  </si>
  <si>
    <t>Fuel pump</t>
  </si>
  <si>
    <t>31.5 x 77</t>
  </si>
  <si>
    <t>Midterm</t>
  </si>
  <si>
    <t>Fuel Filter</t>
  </si>
  <si>
    <t>20 x 45</t>
  </si>
  <si>
    <t>Fuel Tank for main tank 3 galons</t>
  </si>
  <si>
    <r>
      <t>337 mm × 622 mm × 127 mm</t>
    </r>
    <r>
      <rPr>
        <sz val="11"/>
        <color theme="1"/>
        <rFont val="Calibri"/>
        <family val="2"/>
        <scheme val="minor"/>
      </rPr>
      <t>.</t>
    </r>
  </si>
  <si>
    <t>https://giantloopmoto.com/products/armadillo-bag?variant=61789625712970#features</t>
  </si>
  <si>
    <t>Fuel hose</t>
  </si>
  <si>
    <t>8 x 4 x 2000 (outer diameter x inner x length)</t>
  </si>
  <si>
    <t>ECU</t>
  </si>
  <si>
    <t>53x35x19</t>
  </si>
  <si>
    <t>Total</t>
  </si>
  <si>
    <t>Power needed for the 45 min flight</t>
  </si>
  <si>
    <t>51.7 from sensors</t>
  </si>
  <si>
    <t>936 sized up to</t>
  </si>
  <si>
    <t>,</t>
  </si>
  <si>
    <t>Total mass of the system for stability test</t>
  </si>
  <si>
    <t>Total mass in other tests where stab is not tested</t>
  </si>
  <si>
    <t>21.5mm diameter, 70mm height per cell.</t>
  </si>
  <si>
    <t>200x155x95</t>
  </si>
  <si>
    <t>Peak voltage 8S</t>
  </si>
  <si>
    <t>Number of cells to achieve Wh</t>
  </si>
  <si>
    <t>Nominal voltage 7S</t>
  </si>
  <si>
    <t>Nominal voltage 8S</t>
  </si>
  <si>
    <t>Number of parallel packs</t>
  </si>
  <si>
    <t>Round up</t>
  </si>
  <si>
    <t>Links</t>
  </si>
  <si>
    <t>Sensor</t>
  </si>
  <si>
    <t>Nr</t>
  </si>
  <si>
    <t>Weight</t>
  </si>
  <si>
    <t>T_weight</t>
  </si>
  <si>
    <t>Sensors</t>
  </si>
  <si>
    <t>FBG interrogator</t>
  </si>
  <si>
    <t>0.150 m x 0.125 m x 0.0585 m</t>
  </si>
  <si>
    <t>https://www.peraglobe.com/robust-flight-qualified-fbg-interrogator</t>
  </si>
  <si>
    <t>Camera</t>
  </si>
  <si>
    <t>0.075m x 0.075m x 0.09m</t>
  </si>
  <si>
    <t>https://www.phaseone.com/wp-content/uploads/2024/01/P5_Brochure_Display_EN_2023.pdf</t>
  </si>
  <si>
    <t xml:space="preserve">FBG sensors </t>
  </si>
  <si>
    <t>Pitot-sensoring</t>
  </si>
  <si>
    <t>https://www.althensensors.com/measurement-systems/pressure-and-temperature-measurement-system/aeroprobe/air-data-probes/#technical-specifications</t>
  </si>
  <si>
    <t>LIDAR-sensor (weather detection)</t>
  </si>
  <si>
    <t>0.35m x 0.35 x 0.15m</t>
  </si>
  <si>
    <t xml:space="preserve">Camera (for deflection) </t>
  </si>
  <si>
    <t xml:space="preserve">LIDAR (for delfection) </t>
  </si>
  <si>
    <t>What do we measure?</t>
  </si>
  <si>
    <t>Deflection</t>
  </si>
  <si>
    <t>lidar/FBG/camera (IPCT)</t>
  </si>
  <si>
    <t>micrometer measurements need a reference point :(</t>
  </si>
  <si>
    <t>NASA on fiber optic sensoring</t>
  </si>
  <si>
    <t>https://ntrs.nasa.gov/api/citations/20150022384/downloads/20150022384.pdf</t>
  </si>
  <si>
    <t>Visual analysis of the test</t>
  </si>
  <si>
    <t>camera (IPCT)</t>
  </si>
  <si>
    <t>IPCT = Image Pattern Correlation Technique</t>
  </si>
  <si>
    <t>https://www.sciencedirect.com/science/article/pii/S1270963821006714</t>
  </si>
  <si>
    <t>https://reports.nlr.nl/server/api/core/bitstreams/3ce35024-1b20-42be-ac66-6cc5603dae9f/content</t>
  </si>
  <si>
    <t>Strain</t>
  </si>
  <si>
    <t xml:space="preserve">Strain rosetta </t>
  </si>
  <si>
    <t xml:space="preserve">IOP Conference Series Materials Science and Engineering </t>
  </si>
  <si>
    <t>https://www.researchgate.net/publication/332308306_Static_testing_for_composite_wing_of_a_two-seater_seaplane</t>
  </si>
  <si>
    <t>Stress</t>
  </si>
  <si>
    <t>Damping</t>
  </si>
  <si>
    <t>NLR source on wing deformation measurements</t>
  </si>
  <si>
    <t>Stability</t>
  </si>
  <si>
    <t>Experimental AFS paper</t>
  </si>
  <si>
    <t>https://arc.aiaa.org/doi/epdf/10.2514/1.C037978</t>
  </si>
  <si>
    <t>acceleration</t>
  </si>
  <si>
    <t>accelerometers/angular rate sensors</t>
  </si>
  <si>
    <t>Active Dampng using Piezoelectric Sensors</t>
  </si>
  <si>
    <t>https://www.researchgate.net/publication/232251320_Active_Damping_of_Aircraft_Wing_Vibrations_Using_Extension_Mode_Piezoelectric_Elements</t>
  </si>
  <si>
    <t>actuator current sesnsing</t>
  </si>
  <si>
    <t>Acoustic emission sensors</t>
  </si>
  <si>
    <t>more related to maintenance (defects, cracks, plastic deformation, phase transition etc.)</t>
  </si>
  <si>
    <t>Wing twist</t>
  </si>
  <si>
    <t>synchro-meter (?)/camera (IPCT)</t>
  </si>
  <si>
    <t>Loads</t>
  </si>
  <si>
    <t xml:space="preserve">Inertial Reference System (IRS)/ load-cells </t>
  </si>
  <si>
    <t xml:space="preserve">Velocity </t>
  </si>
  <si>
    <t>Pitot-tube</t>
  </si>
  <si>
    <t>Retailers website</t>
  </si>
  <si>
    <t>Reliability</t>
  </si>
  <si>
    <t>https://sebokwiki.org/wiki/System_Reliability,_Availability,_and_Maintainability</t>
  </si>
  <si>
    <t>Reliability is defined as the probability of a product performing its intended function under stated conditions without failure for a given period of time. (ASQ 2022) A precise definition must include a detailed description of the function, the environment, the time scale, and what constitutes a failure. Each can be surprisingly difficult to define precisely.</t>
  </si>
  <si>
    <t>Component</t>
  </si>
  <si>
    <t>Function</t>
  </si>
  <si>
    <t>Operational Environment</t>
  </si>
  <si>
    <t>What constitutes a failure?</t>
  </si>
  <si>
    <t>Chance of failure</t>
  </si>
  <si>
    <t>Time scale of failure rate</t>
  </si>
  <si>
    <t>Sources:</t>
  </si>
  <si>
    <t>Electronics:</t>
  </si>
  <si>
    <t>Military standards for estimating reliability</t>
  </si>
  <si>
    <t>https://everyspec.com/MIL-HDBK/MIL-HDBK-0200-0299/MIL-HDBK-217F_14591/</t>
  </si>
  <si>
    <t>Tellcordia 332 standard for reliability estimation: (more than just electronic components)</t>
  </si>
  <si>
    <t>https://www.scribd.com/document/827966130/Telcordia-SR-332-Issue-4-2016</t>
  </si>
  <si>
    <t>Non-Electrical Parts Reliability Data</t>
  </si>
  <si>
    <t>https://apps.dtic.mil/sti/tr/pdf/ADA108387.pdf</t>
  </si>
  <si>
    <t>ADS-B Transceiver and FLARM Receiver system</t>
  </si>
  <si>
    <t>UAS Mid-Air Collisions, system failure, etc...</t>
  </si>
  <si>
    <t>Lights</t>
  </si>
  <si>
    <t>https://www.aa.washington.edu/sites/aa/files/student/kchen248/publications/UASReliabilityAndRiskAnalysis.pdf</t>
  </si>
  <si>
    <t>Structures:</t>
  </si>
  <si>
    <t>Fuselage</t>
  </si>
  <si>
    <t>Wings</t>
  </si>
  <si>
    <t>Landing Gear</t>
  </si>
  <si>
    <t>Empenage</t>
  </si>
  <si>
    <t>Controlability:</t>
  </si>
  <si>
    <t>Control Surfaces</t>
  </si>
  <si>
    <t>Landing gear retraction</t>
  </si>
  <si>
    <t>Communications and Tellemetry:</t>
  </si>
  <si>
    <t>GPS</t>
  </si>
  <si>
    <t>Data collection</t>
  </si>
  <si>
    <t>Antenna</t>
  </si>
  <si>
    <t>Code:</t>
  </si>
  <si>
    <t>Operations:</t>
  </si>
  <si>
    <t>Bird Strike</t>
  </si>
  <si>
    <t>https://www.sciencedirect.com/science/article/pii/S1350630723007203</t>
  </si>
  <si>
    <t>No ATC Clearance</t>
  </si>
  <si>
    <t>Unexpected weather</t>
  </si>
  <si>
    <t>Ground crew</t>
  </si>
  <si>
    <t xml:space="preserve">Ground station equipment </t>
  </si>
  <si>
    <t>Fuel Availability</t>
  </si>
  <si>
    <t>ATC clearance</t>
  </si>
  <si>
    <t>Unexpected failure to meet MOC:</t>
  </si>
  <si>
    <t>Single Event  Upset</t>
  </si>
  <si>
    <t>Stupid muons fucking shit up</t>
  </si>
  <si>
    <t>https://www.easa.europa.eu/sites/default/files/dfu/CM-AS-004%20Issue%2001.pdf</t>
  </si>
  <si>
    <t>Availability</t>
  </si>
  <si>
    <t xml:space="preserve">Defined as the probability that a repairable system or system element is operational at a given point in time under a given set of environmental conditions. Availability depends on reliability and maintainability and is discussed in detail later in this topic. (ASQ 2011)
</t>
  </si>
  <si>
    <t>Maintainability</t>
  </si>
  <si>
    <t xml:space="preserve">The probability that a given maintenance action for an item under given usage conditions can be performed within a stated time interval when the maintenance is performed under stated conditions using stated procedures and resources. Maintainability has two categories: serviceability (the ease of conducting scheduled inspections and servicing) and repairability (the ease of restoring service after a failure). (ASQ 2022) </t>
  </si>
  <si>
    <t>Time for maintenance?</t>
  </si>
  <si>
    <t>Serviceability</t>
  </si>
  <si>
    <t>Repairability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</si>
</sst>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FFFFF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3" borderId="1" xfId="1" applyFill="1" applyBorder="1" applyAlignment="1">
      <alignment wrapText="1"/>
    </xf>
    <xf numFmtId="0" fontId="1" fillId="0" borderId="0" xfId="1" applyAlignment="1">
      <alignment wrapText="1"/>
    </xf>
    <xf numFmtId="0" fontId="5" fillId="0" borderId="0" xfId="0" applyFont="1"/>
    <xf numFmtId="0" fontId="6" fillId="0" borderId="0" xfId="0" applyFont="1"/>
    <xf numFmtId="0" fontId="7" fillId="5" borderId="5" xfId="0" applyFont="1" applyFill="1" applyBorder="1"/>
    <xf numFmtId="0" fontId="7" fillId="5" borderId="6" xfId="0" applyFont="1" applyFill="1" applyBorder="1"/>
    <xf numFmtId="0" fontId="7" fillId="5" borderId="7" xfId="0" applyFont="1" applyFill="1" applyBorder="1"/>
    <xf numFmtId="0" fontId="0" fillId="6" borderId="5" xfId="0" applyFill="1" applyBorder="1"/>
    <xf numFmtId="0" fontId="0" fillId="6" borderId="6" xfId="0" applyFill="1" applyBorder="1"/>
    <xf numFmtId="0" fontId="1" fillId="6" borderId="6" xfId="1" applyFill="1" applyBorder="1"/>
    <xf numFmtId="0" fontId="0" fillId="6" borderId="7" xfId="0" applyFill="1" applyBorder="1"/>
    <xf numFmtId="0" fontId="0" fillId="0" borderId="5" xfId="0" applyBorder="1"/>
    <xf numFmtId="0" fontId="0" fillId="0" borderId="6" xfId="0" applyBorder="1"/>
    <xf numFmtId="0" fontId="1" fillId="0" borderId="6" xfId="1" applyBorder="1"/>
    <xf numFmtId="0" fontId="0" fillId="0" borderId="7" xfId="0" applyBorder="1"/>
    <xf numFmtId="17" fontId="0" fillId="6" borderId="6" xfId="0" applyNumberFormat="1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9" xfId="1" applyBorder="1"/>
    <xf numFmtId="0" fontId="0" fillId="6" borderId="11" xfId="0" applyFill="1" applyBorder="1"/>
    <xf numFmtId="0" fontId="0" fillId="6" borderId="0" xfId="0" applyFill="1"/>
    <xf numFmtId="0" fontId="0" fillId="6" borderId="12" xfId="0" applyFill="1" applyBorder="1"/>
    <xf numFmtId="0" fontId="8" fillId="0" borderId="0" xfId="0" applyFont="1"/>
    <xf numFmtId="0" fontId="1" fillId="0" borderId="0" xfId="1"/>
    <xf numFmtId="0" fontId="9" fillId="7" borderId="0" xfId="0" applyFont="1" applyFill="1"/>
    <xf numFmtId="0" fontId="1" fillId="6" borderId="0" xfId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8" borderId="1" xfId="0" applyFill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odelaircraftcompany.com/newshop/en/turbine-accessories/540-jet-cat-ecu-v100-electronic-control-unit-for-turbines.html" TargetMode="External"/><Relationship Id="rId13" Type="http://schemas.openxmlformats.org/officeDocument/2006/relationships/hyperlink" Target="https://www.brancaro.com/product/power-distribution-unit/" TargetMode="External"/><Relationship Id="rId3" Type="http://schemas.openxmlformats.org/officeDocument/2006/relationships/hyperlink" Target="https://www.amazon.nl/-/en/Jvnvlki-Waterproof-Actuator-Mounting-Automation/dp/B0FZJYXJWR/ref=sr_1_9?crid=2FMWMEU4N4I3H&amp;dib=eyJ2IjoiMSJ9.UWLefBI9ej2hJtgpS7s9rahhAgBKJKMrz2Y0uoDWpqcKmJdnZV_Y70U-ke9_wpZVgkkHv_7XkQ0HqsqYCaPHhr9UCWmNq3DaILQo2Y5Evc0oVWboFnk1x-o36sMPohqzzPBHCgdvHF0vTJX6x-v_Ul4CQjUgSZSbk2WNoch9I_zxLobwNUy5hvk8Dbq0oceLn158yMdSwsVl-V8TtVb8Y1lLGdy1T1V-zxnD8VxtJvh336cZFwvBImbR9caz9Sjey71o2cm6Ord4OSipIGKSrR--sZvAfp02yPnTUJfIfiM.avRGjIZKozDa6yVOx_XZbclH7SGY2c19b5B_1g5-X1w&amp;dib_tag=se&amp;keywords=linear%2Bactuator&amp;qid=1779800655&amp;sprefix=linear%2Bac%2Caps%2C127&amp;sr=8-9&amp;th=1" TargetMode="External"/><Relationship Id="rId7" Type="http://schemas.openxmlformats.org/officeDocument/2006/relationships/hyperlink" Target="https://www.uavnavigation.com/products/mission-control-computer/vector-mcc" TargetMode="External"/><Relationship Id="rId12" Type="http://schemas.openxmlformats.org/officeDocument/2006/relationships/hyperlink" Target="https://www.brancaro.com/product/power-distribution-unit/" TargetMode="External"/><Relationship Id="rId2" Type="http://schemas.openxmlformats.org/officeDocument/2006/relationships/hyperlink" Target="https://www.awcwire.com/product/55a0111-30" TargetMode="External"/><Relationship Id="rId1" Type="http://schemas.openxmlformats.org/officeDocument/2006/relationships/hyperlink" Target="https://www.nkon.nl/en/molicel-inr21700-m65a-6500mah-26a.html" TargetMode="External"/><Relationship Id="rId6" Type="http://schemas.openxmlformats.org/officeDocument/2006/relationships/hyperlink" Target="https://www.wavenetradio.com/en/projects/rm-1000-2000-3000-2/" TargetMode="External"/><Relationship Id="rId11" Type="http://schemas.openxmlformats.org/officeDocument/2006/relationships/hyperlink" Target="https://www.volz-servos.com/actuators/detail/da-22/" TargetMode="External"/><Relationship Id="rId5" Type="http://schemas.openxmlformats.org/officeDocument/2006/relationships/hyperlink" Target="https://www.coolblue.nl/product/876119/samsung-870-evo-2-5-inch-250gb.html?cmt=c_a%2Ccid_18700235651%2Caid_140074569742%2Ctid_pla-305108688942%2Cgn_g%2Cd_c&amp;utm_source=google&amp;utm_medium=cpc&amp;utm_content=shopping&amp;gad_source=1&amp;gad_campaignid=18700235651&amp;gbraid=0AAAAAD7_VIaCQRykG5pfpIKB-WnbN-j-d&amp;gclid=CjwKCAjwidXQBhAZEiwA4egw6CM_3-4BXG2sYpd-tOqW_tq83ZNq510QsGgvJcAx5nkhNAVEKXwgrRoClCYQAvD_BwE" TargetMode="External"/><Relationship Id="rId15" Type="http://schemas.openxmlformats.org/officeDocument/2006/relationships/hyperlink" Target="https://giantloopmoto.com/products/armadillo-bag?variant=61789625712970" TargetMode="External"/><Relationship Id="rId10" Type="http://schemas.openxmlformats.org/officeDocument/2006/relationships/hyperlink" Target="https://www.nkon.nl/en/molicel-inr21700-m65a-6500mah-26a.html" TargetMode="External"/><Relationship Id="rId4" Type="http://schemas.openxmlformats.org/officeDocument/2006/relationships/hyperlink" Target="https://www.uavnavigation.com/products/autopilots/vector-600" TargetMode="External"/><Relationship Id="rId9" Type="http://schemas.openxmlformats.org/officeDocument/2006/relationships/hyperlink" Target="https://www.jetcat.de/jetcat/Bedienungsanleitung/Strahlturbinen_DE_JetCat_RX_%20120218.pdf" TargetMode="External"/><Relationship Id="rId14" Type="http://schemas.openxmlformats.org/officeDocument/2006/relationships/hyperlink" Target="https://docs.rs-online.com/7fff/A700000014453610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ublication/332308306_Static_testing_for_composite_wing_of_a_two-seater_seaplane" TargetMode="External"/><Relationship Id="rId3" Type="http://schemas.openxmlformats.org/officeDocument/2006/relationships/hyperlink" Target="https://www.althensensors.com/measurement-systems/pressure-and-temperature-measurement-system/aeroprobe/air-data-probes/" TargetMode="External"/><Relationship Id="rId7" Type="http://schemas.openxmlformats.org/officeDocument/2006/relationships/hyperlink" Target="https://reports.nlr.nl/server/api/core/bitstreams/3ce35024-1b20-42be-ac66-6cc5603dae9f/content" TargetMode="External"/><Relationship Id="rId2" Type="http://schemas.openxmlformats.org/officeDocument/2006/relationships/hyperlink" Target="https://www.phaseone.com/wp-content/uploads/2024/01/P5_Brochure_Display_EN_2023.pdf" TargetMode="External"/><Relationship Id="rId1" Type="http://schemas.openxmlformats.org/officeDocument/2006/relationships/hyperlink" Target="https://www.peraglobe.com/robust-flight-qualified-fbg-interrogator" TargetMode="External"/><Relationship Id="rId6" Type="http://schemas.openxmlformats.org/officeDocument/2006/relationships/hyperlink" Target="https://www.researchgate.net/publication/232251320_Active_Damping_of_Aircraft_Wing_Vibrations_Using_Extension_Mode_Piezoelectric_Elements" TargetMode="External"/><Relationship Id="rId5" Type="http://schemas.openxmlformats.org/officeDocument/2006/relationships/hyperlink" Target="https://arc.aiaa.org/doi/epdf/10.2514/1.C037978" TargetMode="External"/><Relationship Id="rId4" Type="http://schemas.openxmlformats.org/officeDocument/2006/relationships/hyperlink" Target="https://reports.nlr.nl/server/api/core/bitstreams/3ce35024-1b20-42be-ac66-6cc5603dae9f/content" TargetMode="External"/><Relationship Id="rId9" Type="http://schemas.openxmlformats.org/officeDocument/2006/relationships/hyperlink" Target="https://www.althensensors.com/measurement-systems/pressure-and-temperature-measurement-system/aeroprobe/air-data-probe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sa.europa.eu/sites/default/files/dfu/CM-AS-004%20Issue%2001.pdf" TargetMode="External"/><Relationship Id="rId2" Type="http://schemas.openxmlformats.org/officeDocument/2006/relationships/hyperlink" Target="https://sebokwiki.org/wiki/System_Reliability,_Availability,_and_Maintainability" TargetMode="External"/><Relationship Id="rId1" Type="http://schemas.openxmlformats.org/officeDocument/2006/relationships/hyperlink" Target="https://www.sciencedirect.com/science/article/pii/S1350630723007203" TargetMode="External"/><Relationship Id="rId6" Type="http://schemas.openxmlformats.org/officeDocument/2006/relationships/hyperlink" Target="https://everyspec.com/MIL-HDBK/MIL-HDBK-0200-0299/MIL-HDBK-217F_14591/" TargetMode="External"/><Relationship Id="rId5" Type="http://schemas.openxmlformats.org/officeDocument/2006/relationships/hyperlink" Target="https://www.aa.washington.edu/sites/aa/files/student/kchen248/publications/UASReliabilityAndRiskAnalysis.pdf" TargetMode="External"/><Relationship Id="rId4" Type="http://schemas.openxmlformats.org/officeDocument/2006/relationships/hyperlink" Target="https://apps.dtic.mil/sti/tr/pdf/ADA10838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8"/>
  <sheetViews>
    <sheetView zoomScale="90" zoomScaleNormal="90" workbookViewId="0">
      <selection activeCell="H29" sqref="H29"/>
    </sheetView>
  </sheetViews>
  <sheetFormatPr defaultRowHeight="15" customHeight="1"/>
  <cols>
    <col min="2" max="2" width="43.140625" bestFit="1" customWidth="1"/>
    <col min="3" max="3" width="11.28515625" customWidth="1"/>
    <col min="4" max="4" width="14.140625" bestFit="1" customWidth="1"/>
    <col min="5" max="5" width="14.140625" customWidth="1"/>
    <col min="6" max="6" width="21.5703125" bestFit="1" customWidth="1"/>
    <col min="7" max="7" width="17.28515625" bestFit="1" customWidth="1"/>
    <col min="8" max="8" width="22.28515625" bestFit="1" customWidth="1"/>
    <col min="9" max="9" width="25" bestFit="1" customWidth="1"/>
    <col min="10" max="10" width="26.28515625" bestFit="1" customWidth="1"/>
    <col min="11" max="11" width="18.28515625" bestFit="1" customWidth="1"/>
    <col min="12" max="12" width="30.7109375" bestFit="1" customWidth="1"/>
    <col min="13" max="19" width="11.42578125" bestFit="1" customWidth="1"/>
  </cols>
  <sheetData>
    <row r="1" spans="2:19" ht="14.45"/>
    <row r="2" spans="2:19" ht="14.45"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1" t="s">
        <v>17</v>
      </c>
    </row>
    <row r="3" spans="2:19" ht="14.45">
      <c r="B3" s="12" t="s">
        <v>18</v>
      </c>
      <c r="C3" s="13">
        <v>40</v>
      </c>
      <c r="D3" s="13">
        <v>74.5</v>
      </c>
      <c r="E3" s="13">
        <f>D3*C3 + 300</f>
        <v>3280</v>
      </c>
      <c r="F3" s="13" t="s">
        <v>19</v>
      </c>
      <c r="G3" s="13"/>
      <c r="H3" s="13">
        <v>982</v>
      </c>
      <c r="I3" s="13">
        <v>3.6</v>
      </c>
      <c r="J3" s="13"/>
      <c r="K3" s="13"/>
      <c r="L3" s="14" t="s">
        <v>20</v>
      </c>
      <c r="M3" s="13"/>
      <c r="N3" s="13"/>
      <c r="O3" s="13"/>
      <c r="P3" s="13"/>
      <c r="Q3" s="13"/>
      <c r="R3" s="13"/>
      <c r="S3" s="15"/>
    </row>
    <row r="4" spans="2:19" ht="14.45">
      <c r="B4" s="16" t="s">
        <v>21</v>
      </c>
      <c r="C4" s="17"/>
      <c r="D4" s="17" t="s">
        <v>22</v>
      </c>
      <c r="E4" s="13">
        <v>0</v>
      </c>
      <c r="F4" s="17"/>
      <c r="G4" s="17"/>
      <c r="H4" s="17" t="s">
        <v>23</v>
      </c>
      <c r="I4" s="17"/>
      <c r="J4" s="17"/>
      <c r="K4" s="17"/>
      <c r="L4" s="18" t="s">
        <v>24</v>
      </c>
      <c r="M4" s="17"/>
      <c r="N4" s="17"/>
      <c r="O4" s="17"/>
      <c r="P4" s="17"/>
      <c r="Q4" s="17"/>
      <c r="R4" s="17"/>
      <c r="S4" s="19"/>
    </row>
    <row r="5" spans="2:19" ht="14.45">
      <c r="B5" s="12" t="s">
        <v>25</v>
      </c>
      <c r="C5" s="13">
        <v>6</v>
      </c>
      <c r="D5" s="13">
        <v>105</v>
      </c>
      <c r="E5" s="13">
        <f>D5*C5</f>
        <v>630</v>
      </c>
      <c r="F5" s="13" t="s">
        <v>26</v>
      </c>
      <c r="G5" s="13">
        <f>SUM(I5*K5*C5)</f>
        <v>756</v>
      </c>
      <c r="H5" s="13"/>
      <c r="I5" s="13">
        <v>28</v>
      </c>
      <c r="J5" s="13">
        <v>7.8</v>
      </c>
      <c r="K5" s="13">
        <v>4.5</v>
      </c>
      <c r="L5" s="29" t="s">
        <v>27</v>
      </c>
      <c r="M5" s="13"/>
      <c r="N5" s="13"/>
      <c r="O5" s="13"/>
      <c r="P5" s="13"/>
      <c r="Q5" s="13"/>
      <c r="R5" s="13"/>
      <c r="S5" s="15"/>
    </row>
    <row r="6" spans="2:19" ht="14.45">
      <c r="B6" s="16" t="s">
        <v>28</v>
      </c>
      <c r="C6" s="17">
        <v>3</v>
      </c>
      <c r="D6" s="17">
        <v>200</v>
      </c>
      <c r="E6" s="17">
        <f>D6*C6</f>
        <v>600</v>
      </c>
      <c r="F6" s="17" t="s">
        <v>29</v>
      </c>
      <c r="G6" s="17">
        <f>SUM(I6*J6*C6)</f>
        <v>180</v>
      </c>
      <c r="H6" s="17"/>
      <c r="I6" s="17">
        <v>12</v>
      </c>
      <c r="J6" s="17">
        <v>5</v>
      </c>
      <c r="K6" s="17"/>
      <c r="L6" s="18" t="s">
        <v>30</v>
      </c>
      <c r="M6" s="17"/>
      <c r="N6" s="17"/>
      <c r="O6" s="17"/>
      <c r="P6" s="17"/>
      <c r="Q6" s="17"/>
      <c r="R6" s="17"/>
      <c r="S6" s="19"/>
    </row>
    <row r="7" spans="2:19" ht="14.45">
      <c r="B7" s="12" t="s">
        <v>31</v>
      </c>
      <c r="C7" s="13">
        <v>1</v>
      </c>
      <c r="D7" s="13">
        <v>180</v>
      </c>
      <c r="E7" s="17">
        <f t="shared" ref="E7:E10" si="0">D7*C7</f>
        <v>180</v>
      </c>
      <c r="F7" s="13" t="s">
        <v>32</v>
      </c>
      <c r="G7" s="13">
        <v>2.5</v>
      </c>
      <c r="H7" s="13" t="s">
        <v>23</v>
      </c>
      <c r="I7" s="20" t="s">
        <v>23</v>
      </c>
      <c r="J7" s="13" t="s">
        <v>23</v>
      </c>
      <c r="K7" s="13" t="s">
        <v>23</v>
      </c>
      <c r="L7" s="14" t="s">
        <v>33</v>
      </c>
      <c r="M7" s="13"/>
      <c r="N7" s="13"/>
      <c r="O7" s="13"/>
      <c r="P7" s="13"/>
      <c r="Q7" s="13"/>
      <c r="R7" s="13"/>
      <c r="S7" s="15"/>
    </row>
    <row r="8" spans="2:19" ht="14.45">
      <c r="B8" s="16" t="s">
        <v>34</v>
      </c>
      <c r="C8" s="17">
        <v>1</v>
      </c>
      <c r="D8" s="17">
        <v>50</v>
      </c>
      <c r="E8" s="17">
        <f t="shared" si="0"/>
        <v>50</v>
      </c>
      <c r="F8" s="17" t="s">
        <v>35</v>
      </c>
      <c r="G8" s="17">
        <v>2.5</v>
      </c>
      <c r="H8" s="17"/>
      <c r="I8" s="17"/>
      <c r="J8" s="17"/>
      <c r="K8" s="17"/>
      <c r="L8" s="18" t="s">
        <v>36</v>
      </c>
      <c r="M8" s="17"/>
      <c r="N8" s="17"/>
      <c r="O8" s="17"/>
      <c r="P8" s="17"/>
      <c r="Q8" s="17"/>
      <c r="R8" s="17"/>
      <c r="S8" s="19"/>
    </row>
    <row r="9" spans="2:19" ht="14.45">
      <c r="B9" s="12" t="s">
        <v>37</v>
      </c>
      <c r="C9" s="13">
        <v>1</v>
      </c>
      <c r="D9" s="13">
        <v>120</v>
      </c>
      <c r="E9" s="17">
        <f t="shared" si="0"/>
        <v>120</v>
      </c>
      <c r="F9" s="13" t="s">
        <v>38</v>
      </c>
      <c r="G9" s="13"/>
      <c r="H9" s="13"/>
      <c r="I9" s="13">
        <v>12</v>
      </c>
      <c r="J9" s="13">
        <v>2.5</v>
      </c>
      <c r="K9" s="13"/>
      <c r="L9" s="14" t="s">
        <v>39</v>
      </c>
      <c r="M9" s="13"/>
      <c r="N9" s="13"/>
      <c r="O9" s="13"/>
      <c r="P9" s="13"/>
      <c r="Q9" s="13"/>
      <c r="R9" s="13"/>
      <c r="S9" s="15"/>
    </row>
    <row r="10" spans="2:19" ht="14.45">
      <c r="B10" s="12" t="s">
        <v>40</v>
      </c>
      <c r="C10" s="13">
        <v>1</v>
      </c>
      <c r="D10" s="13">
        <v>160</v>
      </c>
      <c r="E10" s="17">
        <f t="shared" si="0"/>
        <v>160</v>
      </c>
      <c r="F10" s="13" t="s">
        <v>32</v>
      </c>
      <c r="G10" s="13">
        <v>2.5</v>
      </c>
      <c r="H10" s="13"/>
      <c r="I10" s="13"/>
      <c r="J10" s="13"/>
      <c r="K10" s="13"/>
      <c r="L10" s="14" t="s">
        <v>41</v>
      </c>
      <c r="M10" s="13"/>
      <c r="N10" s="13"/>
      <c r="O10" s="13"/>
      <c r="P10" s="13"/>
      <c r="Q10" s="13"/>
      <c r="R10" s="13"/>
      <c r="S10" s="15"/>
    </row>
    <row r="11" spans="2:19" ht="14.45">
      <c r="B11" s="25" t="s">
        <v>42</v>
      </c>
      <c r="C11" s="26">
        <v>2</v>
      </c>
      <c r="D11" s="26">
        <v>62.5</v>
      </c>
      <c r="E11" s="17">
        <f>D11*C11</f>
        <v>125</v>
      </c>
      <c r="F11" s="26">
        <v>180</v>
      </c>
      <c r="G11" s="26">
        <v>10</v>
      </c>
      <c r="H11" s="26"/>
      <c r="I11" s="26"/>
      <c r="J11" s="26"/>
      <c r="K11" s="26"/>
      <c r="L11" s="31" t="s">
        <v>43</v>
      </c>
      <c r="M11" s="26"/>
      <c r="N11" s="26"/>
      <c r="O11" s="26"/>
      <c r="P11" s="26"/>
      <c r="Q11" s="26"/>
      <c r="R11" s="26"/>
      <c r="S11" s="27"/>
    </row>
    <row r="12" spans="2:19" ht="14.45">
      <c r="B12" s="25" t="s">
        <v>44</v>
      </c>
      <c r="C12" s="26">
        <v>1</v>
      </c>
      <c r="D12" s="26">
        <v>2200</v>
      </c>
      <c r="E12" s="17">
        <f>D12*C12</f>
        <v>2200</v>
      </c>
      <c r="F12" t="s">
        <v>45</v>
      </c>
      <c r="G12" s="26"/>
      <c r="H12" s="26"/>
      <c r="I12" s="26"/>
      <c r="J12" s="26"/>
      <c r="K12" s="26"/>
      <c r="L12" s="29" t="s">
        <v>46</v>
      </c>
      <c r="M12" s="26"/>
      <c r="N12" s="26"/>
      <c r="O12" s="26"/>
      <c r="P12" s="26"/>
      <c r="Q12" s="26"/>
      <c r="R12" s="26"/>
      <c r="S12" s="27"/>
    </row>
    <row r="13" spans="2:19" ht="14.45">
      <c r="B13" s="21" t="s">
        <v>47</v>
      </c>
      <c r="C13" s="22"/>
      <c r="D13" s="22"/>
      <c r="E13" s="22"/>
      <c r="F13" s="22"/>
      <c r="G13" s="22">
        <v>72</v>
      </c>
      <c r="H13" s="22"/>
      <c r="I13" s="22"/>
      <c r="J13" s="22"/>
      <c r="K13" s="22"/>
      <c r="L13" s="24" t="s">
        <v>48</v>
      </c>
      <c r="M13" s="22"/>
      <c r="N13" s="22"/>
      <c r="O13" s="22"/>
      <c r="P13" s="22"/>
      <c r="Q13" s="22"/>
      <c r="R13" s="22"/>
      <c r="S13" s="23"/>
    </row>
    <row r="14" spans="2:19" ht="14.45">
      <c r="B14" t="s">
        <v>49</v>
      </c>
      <c r="C14">
        <v>2</v>
      </c>
      <c r="D14">
        <v>1080</v>
      </c>
      <c r="E14">
        <f>D14*C14</f>
        <v>2160</v>
      </c>
      <c r="F14" t="s">
        <v>50</v>
      </c>
      <c r="H14" t="s">
        <v>23</v>
      </c>
      <c r="L14" s="29" t="s">
        <v>51</v>
      </c>
    </row>
    <row r="15" spans="2:19" ht="14.45">
      <c r="B15" t="s">
        <v>52</v>
      </c>
      <c r="C15">
        <v>3</v>
      </c>
      <c r="D15">
        <v>110</v>
      </c>
      <c r="E15">
        <f>D15*C15</f>
        <v>330</v>
      </c>
      <c r="F15" t="s">
        <v>53</v>
      </c>
      <c r="L15" t="s">
        <v>54</v>
      </c>
    </row>
    <row r="16" spans="2:19" ht="14.45">
      <c r="B16" t="s">
        <v>55</v>
      </c>
      <c r="C16">
        <v>2</v>
      </c>
      <c r="D16">
        <v>15</v>
      </c>
      <c r="E16">
        <f>D16*C16</f>
        <v>30</v>
      </c>
      <c r="F16" t="s">
        <v>56</v>
      </c>
      <c r="L16" t="s">
        <v>54</v>
      </c>
    </row>
    <row r="17" spans="2:19" ht="14.45">
      <c r="B17" t="s">
        <v>57</v>
      </c>
      <c r="C17">
        <v>2</v>
      </c>
      <c r="D17">
        <v>680</v>
      </c>
      <c r="E17">
        <f>D17*C17</f>
        <v>1360</v>
      </c>
      <c r="F17" s="1" t="s">
        <v>58</v>
      </c>
      <c r="L17" s="29" t="s">
        <v>59</v>
      </c>
    </row>
    <row r="18" spans="2:19" ht="14.45">
      <c r="B18" t="s">
        <v>60</v>
      </c>
      <c r="D18">
        <v>170</v>
      </c>
      <c r="F18" t="s">
        <v>61</v>
      </c>
      <c r="L18" t="s">
        <v>54</v>
      </c>
    </row>
    <row r="19" spans="2:19" ht="14.45">
      <c r="B19" t="s">
        <v>62</v>
      </c>
      <c r="C19">
        <v>2</v>
      </c>
      <c r="D19">
        <v>27</v>
      </c>
      <c r="E19">
        <f>D19*C19</f>
        <v>54</v>
      </c>
      <c r="F19" t="s">
        <v>63</v>
      </c>
    </row>
    <row r="20" spans="2:19" ht="15" customHeight="1">
      <c r="B20" s="28"/>
      <c r="G20" s="28"/>
    </row>
    <row r="21" spans="2:19" ht="14.45">
      <c r="F21" s="28">
        <f>337*622*127</f>
        <v>26620978</v>
      </c>
      <c r="G21" s="28">
        <v>26620978</v>
      </c>
      <c r="H21">
        <f>F21-G21</f>
        <v>0</v>
      </c>
      <c r="L21" s="29"/>
    </row>
    <row r="22" spans="2:19" ht="14.45">
      <c r="B22" s="1" t="s">
        <v>64</v>
      </c>
      <c r="H22" s="17"/>
      <c r="L22" s="29"/>
    </row>
    <row r="23" spans="2:19" ht="15" customHeight="1">
      <c r="B23" t="s">
        <v>65</v>
      </c>
      <c r="E23">
        <f>SUM(E3:E20)*1.1</f>
        <v>12406.900000000001</v>
      </c>
      <c r="G23">
        <f>SUM(G3:G19)*1.1</f>
        <v>1128.0500000000002</v>
      </c>
    </row>
    <row r="24" spans="2:19" ht="15" customHeight="1">
      <c r="E24">
        <f>SUM(E23-D17)</f>
        <v>11726.900000000001</v>
      </c>
      <c r="G24">
        <f>G23*4.5/6</f>
        <v>846.03750000000002</v>
      </c>
      <c r="H24" t="s">
        <v>66</v>
      </c>
    </row>
    <row r="25" spans="2:19" ht="15" customHeight="1">
      <c r="G25" t="s">
        <v>67</v>
      </c>
    </row>
    <row r="26" spans="2:19" ht="15" customHeight="1">
      <c r="B26" t="s">
        <v>68</v>
      </c>
    </row>
    <row r="27" spans="2:19" ht="15" customHeight="1">
      <c r="B27" t="s">
        <v>69</v>
      </c>
      <c r="C27">
        <f>E23</f>
        <v>12406.900000000001</v>
      </c>
    </row>
    <row r="28" spans="2:19" ht="15" customHeight="1">
      <c r="B28" t="s">
        <v>70</v>
      </c>
      <c r="C28">
        <f>E24</f>
        <v>11726.900000000001</v>
      </c>
      <c r="I28" s="17"/>
      <c r="J28" s="17"/>
      <c r="K28" s="17"/>
      <c r="L28" s="18"/>
      <c r="M28" s="17"/>
      <c r="N28" s="17"/>
      <c r="O28" s="17"/>
      <c r="P28" s="17"/>
      <c r="Q28" s="17"/>
      <c r="R28" s="17"/>
      <c r="S28" s="19"/>
    </row>
    <row r="30" spans="2:19" ht="15" customHeight="1">
      <c r="B30" s="29" t="s">
        <v>20</v>
      </c>
      <c r="E30" t="s">
        <v>71</v>
      </c>
      <c r="G30">
        <f>24/3.6</f>
        <v>6.6666666666666661</v>
      </c>
    </row>
    <row r="31" spans="2:19" ht="15" customHeight="1">
      <c r="K31" t="s">
        <v>72</v>
      </c>
    </row>
    <row r="32" spans="2:19" ht="15" customHeight="1">
      <c r="J32">
        <v>2200</v>
      </c>
      <c r="K32" t="s">
        <v>45</v>
      </c>
      <c r="L32" s="29" t="s">
        <v>46</v>
      </c>
    </row>
    <row r="33" spans="10:14" ht="15" customHeight="1">
      <c r="J33" t="s">
        <v>73</v>
      </c>
      <c r="K33">
        <f>8*4.2</f>
        <v>33.6</v>
      </c>
    </row>
    <row r="34" spans="10:14" ht="15" customHeight="1">
      <c r="J34" t="s">
        <v>74</v>
      </c>
      <c r="K34">
        <f>900/23.5</f>
        <v>38.297872340425535</v>
      </c>
    </row>
    <row r="35" spans="10:14" ht="15" customHeight="1">
      <c r="J35" t="s">
        <v>75</v>
      </c>
      <c r="K35">
        <f>7*3.6</f>
        <v>25.2</v>
      </c>
    </row>
    <row r="36" spans="10:14" ht="15" customHeight="1">
      <c r="J36" t="s">
        <v>76</v>
      </c>
      <c r="K36">
        <f>8*3.6</f>
        <v>28.8</v>
      </c>
      <c r="M36">
        <f>28.8*6.5</f>
        <v>187.20000000000002</v>
      </c>
      <c r="N36">
        <f>900/M36</f>
        <v>4.8076923076923075</v>
      </c>
    </row>
    <row r="37" spans="10:14" ht="15" customHeight="1">
      <c r="J37" t="s">
        <v>77</v>
      </c>
      <c r="K37">
        <f>39/8</f>
        <v>4.875</v>
      </c>
    </row>
    <row r="38" spans="10:14" ht="15" customHeight="1">
      <c r="J38" t="s">
        <v>78</v>
      </c>
      <c r="K38">
        <v>5</v>
      </c>
      <c r="L38">
        <f>K38*8</f>
        <v>40</v>
      </c>
    </row>
  </sheetData>
  <hyperlinks>
    <hyperlink ref="L3" r:id="rId1" xr:uid="{402AE0E1-D0C7-4DFC-ADE9-C31406E10862}"/>
    <hyperlink ref="L4" r:id="rId2" xr:uid="{0B0CD9AC-7441-4F45-9F06-85F08F72CAB9}"/>
    <hyperlink ref="L6" r:id="rId3" display="https://www.amazon.nl/-/en/Jvnvlki-Waterproof-Actuator-Mounting-Automation/dp/B0FZJYXJWR/ref=sr_1_9?crid=2FMWMEU4N4I3H&amp;dib=eyJ2IjoiMSJ9.UWLefBI9ej2hJtgpS7s9rahhAgBKJKMrz2Y0uoDWpqcKmJdnZV_Y70U-ke9_wpZVgkkHv_7XkQ0HqsqYCaPHhr9UCWmNq3DaILQo2Y5Evc0oVWboFnk1x-o36sMPohqzzPBHCgdvHF0vTJX6x-v_Ul4CQjUgSZSbk2WNoch9I_zxLobwNUy5hvk8Dbq0oceLn158yMdSwsVl-V8TtVb8Y1lLGdy1T1V-zxnD8VxtJvh336cZFwvBImbR9caz9Sjey71o2cm6Ord4OSipIGKSrR--sZvAfp02yPnTUJfIfiM.avRGjIZKozDa6yVOx_XZbclH7SGY2c19b5B_1g5-X1w&amp;dib_tag=se&amp;keywords=linear%2Bactuator&amp;qid=1779800655&amp;sprefix=linear%2Bac%2Caps%2C127&amp;sr=8-9&amp;th=1" xr:uid="{7F2B560A-2979-445C-A3B8-30D3ACD09405}"/>
    <hyperlink ref="L7" r:id="rId4" xr:uid="{B8D0B023-531B-4587-87B3-BA09E17330E2}"/>
    <hyperlink ref="L8" r:id="rId5" display="https://www.coolblue.nl/product/876119/samsung-870-evo-2-5-inch-250gb.html?cmt=c_a%2Ccid_18700235651%2Caid_140074569742%2Ctid_pla-305108688942%2Cgn_g%2Cd_c&amp;utm_source=google&amp;utm_medium=cpc&amp;utm_content=shopping&amp;gad_source=1&amp;gad_campaignid=18700235651&amp;gbraid=0AAAAAD7_VIaCQRykG5pfpIKB-WnbN-j-d&amp;gclid=CjwKCAjwidXQBhAZEiwA4egw6CM_3-4BXG2sYpd-tOqW_tq83ZNq510QsGgvJcAx5nkhNAVEKXwgrRoClCYQAvD_BwE" xr:uid="{5AE5C613-70A2-4A52-9322-49252F394704}"/>
    <hyperlink ref="L9" r:id="rId6" xr:uid="{7154E8C5-96F7-4DD4-9450-6EC52F1EEE41}"/>
    <hyperlink ref="L10" r:id="rId7" xr:uid="{BF103419-D50D-41BE-A06E-65DC6CED9419}"/>
    <hyperlink ref="L14" r:id="rId8" xr:uid="{5C0DB75B-8668-4177-B22D-1ABC7AE99517}"/>
    <hyperlink ref="L13" r:id="rId9" xr:uid="{C79A67E2-CFC7-45A3-8CFE-B8181B66801B}"/>
    <hyperlink ref="B30" r:id="rId10" xr:uid="{20F49147-EAA4-4D75-B22A-131E341980ED}"/>
    <hyperlink ref="L5" r:id="rId11" xr:uid="{23264199-CD58-4DE3-B7C8-50927E8F1DEF}"/>
    <hyperlink ref="L32" r:id="rId12" xr:uid="{D48FE373-F791-4070-B450-186B9D000553}"/>
    <hyperlink ref="L12" r:id="rId13" xr:uid="{5D35FFA6-6FCA-419C-BD45-0D6AD600EA88}"/>
    <hyperlink ref="L11" r:id="rId14" xr:uid="{B3E5E561-4E03-45E7-A3E3-810CE740236B}"/>
    <hyperlink ref="L17" r:id="rId15" location="features" xr:uid="{7037D371-D5C1-40C9-9559-753F6F098A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1031-07F6-4CD7-9F26-AA8578BDB56B}">
  <dimension ref="B2:H36"/>
  <sheetViews>
    <sheetView workbookViewId="0">
      <selection activeCell="F19" sqref="F19"/>
    </sheetView>
  </sheetViews>
  <sheetFormatPr defaultRowHeight="14.45"/>
  <cols>
    <col min="2" max="2" width="28.7109375" customWidth="1"/>
    <col min="3" max="3" width="22.5703125" customWidth="1"/>
    <col min="5" max="5" width="18.28515625" customWidth="1"/>
    <col min="6" max="6" width="30.42578125" customWidth="1"/>
    <col min="7" max="7" width="20.85546875" customWidth="1"/>
    <col min="8" max="9" width="27.28515625" customWidth="1"/>
  </cols>
  <sheetData>
    <row r="2" spans="2:8">
      <c r="B2" s="9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30" t="s">
        <v>79</v>
      </c>
    </row>
    <row r="3" spans="2:8">
      <c r="B3" t="s">
        <v>80</v>
      </c>
      <c r="C3" t="s">
        <v>81</v>
      </c>
      <c r="D3" t="s">
        <v>82</v>
      </c>
      <c r="E3" t="s">
        <v>83</v>
      </c>
    </row>
    <row r="5" spans="2:8">
      <c r="B5" s="28" t="s">
        <v>84</v>
      </c>
    </row>
    <row r="6" spans="2:8">
      <c r="B6" t="s">
        <v>85</v>
      </c>
      <c r="C6">
        <v>1</v>
      </c>
      <c r="D6">
        <v>700</v>
      </c>
      <c r="E6">
        <f>D6*C6</f>
        <v>700</v>
      </c>
      <c r="F6" s="28" t="s">
        <v>86</v>
      </c>
      <c r="H6" s="29" t="s">
        <v>87</v>
      </c>
    </row>
    <row r="7" spans="2:8">
      <c r="B7" t="s">
        <v>88</v>
      </c>
      <c r="C7">
        <v>1</v>
      </c>
      <c r="D7">
        <v>700</v>
      </c>
      <c r="E7">
        <f>D7*C7</f>
        <v>700</v>
      </c>
      <c r="F7" s="28" t="s">
        <v>89</v>
      </c>
      <c r="H7" s="29" t="s">
        <v>90</v>
      </c>
    </row>
    <row r="8" spans="2:8">
      <c r="B8" t="s">
        <v>91</v>
      </c>
      <c r="C8">
        <v>8</v>
      </c>
      <c r="D8">
        <v>20</v>
      </c>
      <c r="E8">
        <f>D8*C8</f>
        <v>160</v>
      </c>
    </row>
    <row r="9" spans="2:8">
      <c r="B9" t="s">
        <v>92</v>
      </c>
      <c r="C9">
        <v>1</v>
      </c>
      <c r="D9">
        <v>20</v>
      </c>
      <c r="E9">
        <f>D9*C9</f>
        <v>20</v>
      </c>
      <c r="H9" s="29" t="s">
        <v>93</v>
      </c>
    </row>
    <row r="10" spans="2:8">
      <c r="B10" t="s">
        <v>94</v>
      </c>
      <c r="C10">
        <v>2</v>
      </c>
      <c r="D10">
        <v>160</v>
      </c>
      <c r="E10">
        <f>D10*C10</f>
        <v>320</v>
      </c>
      <c r="F10" s="28" t="s">
        <v>95</v>
      </c>
    </row>
    <row r="11" spans="2:8">
      <c r="B11" t="s">
        <v>96</v>
      </c>
    </row>
    <row r="12" spans="2:8">
      <c r="B12" t="s">
        <v>97</v>
      </c>
    </row>
    <row r="24" spans="2:8">
      <c r="B24" s="1" t="s">
        <v>98</v>
      </c>
      <c r="C24" s="1" t="s">
        <v>80</v>
      </c>
    </row>
    <row r="25" spans="2:8">
      <c r="B25" t="s">
        <v>99</v>
      </c>
      <c r="C25" t="s">
        <v>100</v>
      </c>
      <c r="E25" t="s">
        <v>101</v>
      </c>
      <c r="F25" t="s">
        <v>102</v>
      </c>
      <c r="G25" s="8" t="s">
        <v>103</v>
      </c>
    </row>
    <row r="26" spans="2:8">
      <c r="B26" t="s">
        <v>104</v>
      </c>
      <c r="C26" t="s">
        <v>105</v>
      </c>
      <c r="E26" t="s">
        <v>106</v>
      </c>
      <c r="G26" s="8" t="s">
        <v>107</v>
      </c>
      <c r="H26" s="29" t="s">
        <v>108</v>
      </c>
    </row>
    <row r="27" spans="2:8">
      <c r="B27" t="s">
        <v>109</v>
      </c>
      <c r="C27" t="s">
        <v>110</v>
      </c>
      <c r="F27" t="s">
        <v>111</v>
      </c>
      <c r="G27" s="29" t="s">
        <v>112</v>
      </c>
    </row>
    <row r="28" spans="2:8">
      <c r="B28" t="s">
        <v>113</v>
      </c>
    </row>
    <row r="29" spans="2:8">
      <c r="B29" t="s">
        <v>114</v>
      </c>
      <c r="F29" t="s">
        <v>115</v>
      </c>
      <c r="G29" s="29" t="s">
        <v>108</v>
      </c>
    </row>
    <row r="30" spans="2:8">
      <c r="B30" t="s">
        <v>116</v>
      </c>
      <c r="F30" t="s">
        <v>117</v>
      </c>
      <c r="G30" s="29" t="s">
        <v>118</v>
      </c>
    </row>
    <row r="31" spans="2:8">
      <c r="B31" t="s">
        <v>119</v>
      </c>
      <c r="C31" t="s">
        <v>120</v>
      </c>
      <c r="F31" t="s">
        <v>121</v>
      </c>
      <c r="G31" s="29" t="s">
        <v>122</v>
      </c>
    </row>
    <row r="32" spans="2:8">
      <c r="B32" t="s">
        <v>123</v>
      </c>
    </row>
    <row r="33" spans="2:7">
      <c r="B33" t="s">
        <v>124</v>
      </c>
      <c r="C33" t="s">
        <v>125</v>
      </c>
    </row>
    <row r="34" spans="2:7">
      <c r="B34" t="s">
        <v>126</v>
      </c>
      <c r="C34" t="s">
        <v>127</v>
      </c>
    </row>
    <row r="35" spans="2:7">
      <c r="B35" t="s">
        <v>128</v>
      </c>
      <c r="C35" t="s">
        <v>129</v>
      </c>
    </row>
    <row r="36" spans="2:7">
      <c r="B36" t="s">
        <v>130</v>
      </c>
      <c r="C36" t="s">
        <v>131</v>
      </c>
      <c r="F36" t="s">
        <v>132</v>
      </c>
      <c r="G36" s="29" t="s">
        <v>93</v>
      </c>
    </row>
  </sheetData>
  <hyperlinks>
    <hyperlink ref="H6" r:id="rId1" xr:uid="{A4D2C140-08DC-45EB-A7DF-C51E06222819}"/>
    <hyperlink ref="H7" r:id="rId2" xr:uid="{E66A0287-868C-4C1C-93AF-170F4E47A935}"/>
    <hyperlink ref="H9" r:id="rId3" location="technical-specifications" xr:uid="{D4D4A304-EA25-4D7A-9C7D-19B955D3A0D2}"/>
    <hyperlink ref="G29" r:id="rId4" xr:uid="{4389A5EA-D35C-4773-80AD-01E615AB53A2}"/>
    <hyperlink ref="G30" r:id="rId5" xr:uid="{A29901D0-7752-41DA-AE18-CFDEABF07BEA}"/>
    <hyperlink ref="G31" r:id="rId6" xr:uid="{8817B231-DC53-4BBF-8B23-72FA274DEE36}"/>
    <hyperlink ref="H26" r:id="rId7" xr:uid="{1CFA28BF-1312-4B82-8579-C5DD1427D77E}"/>
    <hyperlink ref="G27" r:id="rId8" xr:uid="{9A5EE76C-C2BF-42D8-AC40-1A1E41EFE44A}"/>
    <hyperlink ref="G36" r:id="rId9" location="technical-specifications" xr:uid="{492D7E78-ABD9-47CF-9246-0DFDE82486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3F52-3E18-4B79-B600-40B092248C21}">
  <dimension ref="A1:K46"/>
  <sheetViews>
    <sheetView tabSelected="1" topLeftCell="G2" zoomScale="55" zoomScaleNormal="55" workbookViewId="0">
      <selection activeCell="K8" sqref="K8"/>
    </sheetView>
  </sheetViews>
  <sheetFormatPr defaultColWidth="9.140625" defaultRowHeight="14.45"/>
  <cols>
    <col min="1" max="1" width="52.140625" style="2" customWidth="1"/>
    <col min="2" max="2" width="63.7109375" style="2" customWidth="1"/>
    <col min="3" max="3" width="54.5703125" style="2" customWidth="1"/>
    <col min="4" max="4" width="53" style="2" customWidth="1"/>
    <col min="5" max="5" width="18.42578125" style="2" customWidth="1"/>
    <col min="6" max="6" width="27.85546875" style="2" customWidth="1"/>
    <col min="7" max="7" width="88.85546875" style="2" customWidth="1"/>
    <col min="8" max="10" width="9.140625" style="2"/>
    <col min="11" max="11" width="103.7109375" style="2" customWidth="1"/>
    <col min="12" max="16384" width="9.140625" style="2"/>
  </cols>
  <sheetData>
    <row r="1" spans="1:11" ht="15.6">
      <c r="A1" s="32" t="s">
        <v>133</v>
      </c>
      <c r="B1" s="32"/>
      <c r="C1" s="32"/>
      <c r="D1" s="32"/>
      <c r="E1" s="32"/>
      <c r="F1" s="32"/>
      <c r="G1" s="6" t="s">
        <v>134</v>
      </c>
    </row>
    <row r="2" spans="1:11" ht="35.25" customHeight="1">
      <c r="A2" s="33" t="s">
        <v>135</v>
      </c>
      <c r="B2" s="33"/>
      <c r="C2" s="33"/>
      <c r="D2" s="33"/>
      <c r="E2" s="33"/>
      <c r="F2" s="33"/>
    </row>
    <row r="5" spans="1:11">
      <c r="A5" s="4" t="s">
        <v>136</v>
      </c>
      <c r="B5" s="4" t="s">
        <v>137</v>
      </c>
      <c r="C5" s="4" t="s">
        <v>138</v>
      </c>
      <c r="D5" s="4" t="s">
        <v>139</v>
      </c>
      <c r="E5" s="4" t="s">
        <v>140</v>
      </c>
      <c r="F5" s="4" t="s">
        <v>141</v>
      </c>
      <c r="G5" s="4" t="s">
        <v>142</v>
      </c>
    </row>
    <row r="6" spans="1:11">
      <c r="A6" s="34" t="s">
        <v>143</v>
      </c>
      <c r="B6" s="34"/>
      <c r="C6" s="34"/>
      <c r="D6" s="34"/>
      <c r="E6" s="34"/>
      <c r="F6" s="34"/>
      <c r="G6" s="34"/>
    </row>
    <row r="7" spans="1:11">
      <c r="A7" s="46" t="s">
        <v>18</v>
      </c>
      <c r="B7" s="3"/>
      <c r="C7" s="3"/>
      <c r="D7" s="3"/>
      <c r="E7" s="3"/>
      <c r="F7" s="3"/>
      <c r="G7" s="5"/>
      <c r="K7" s="8" t="s">
        <v>144</v>
      </c>
    </row>
    <row r="8" spans="1:11" ht="15">
      <c r="A8" s="3" t="s">
        <v>21</v>
      </c>
      <c r="B8" s="3"/>
      <c r="C8" s="3"/>
      <c r="D8" s="3"/>
      <c r="E8" s="3"/>
      <c r="F8" s="3"/>
      <c r="G8" s="3"/>
      <c r="K8" s="29" t="s">
        <v>145</v>
      </c>
    </row>
    <row r="9" spans="1:11">
      <c r="A9" s="3" t="s">
        <v>25</v>
      </c>
      <c r="B9" s="3"/>
      <c r="C9" s="3"/>
      <c r="D9" s="3"/>
      <c r="E9" s="3"/>
      <c r="F9" s="3"/>
      <c r="G9" s="5"/>
      <c r="K9" s="2" t="s">
        <v>146</v>
      </c>
    </row>
    <row r="10" spans="1:11">
      <c r="A10" s="3" t="s">
        <v>28</v>
      </c>
      <c r="B10" s="3"/>
      <c r="C10" s="3"/>
      <c r="D10" s="3"/>
      <c r="E10" s="3"/>
      <c r="F10" s="3"/>
      <c r="G10" s="3"/>
      <c r="K10" s="7" t="s">
        <v>147</v>
      </c>
    </row>
    <row r="11" spans="1:11">
      <c r="A11" s="46" t="s">
        <v>31</v>
      </c>
      <c r="B11" s="3"/>
      <c r="C11" s="3"/>
      <c r="D11" s="3"/>
      <c r="E11" s="3"/>
      <c r="F11" s="3"/>
      <c r="G11" s="3"/>
      <c r="K11" s="2" t="s">
        <v>148</v>
      </c>
    </row>
    <row r="12" spans="1:11">
      <c r="A12" s="3" t="s">
        <v>34</v>
      </c>
      <c r="B12" s="3"/>
      <c r="C12" s="3"/>
      <c r="D12" s="3"/>
      <c r="E12" s="3"/>
      <c r="F12" s="3"/>
      <c r="G12" s="5"/>
      <c r="K12" s="6" t="s">
        <v>149</v>
      </c>
    </row>
    <row r="13" spans="1:11">
      <c r="A13" s="3" t="s">
        <v>150</v>
      </c>
      <c r="B13" s="3"/>
      <c r="C13" s="3"/>
      <c r="D13" s="3"/>
      <c r="E13" s="3"/>
      <c r="F13" s="3"/>
      <c r="G13" s="3"/>
      <c r="K13" s="2" t="s">
        <v>151</v>
      </c>
    </row>
    <row r="14" spans="1:11">
      <c r="A14" s="3" t="s">
        <v>152</v>
      </c>
      <c r="B14" s="3"/>
      <c r="C14" s="3"/>
      <c r="D14" s="3"/>
      <c r="E14" s="3"/>
      <c r="F14" s="3"/>
      <c r="G14" s="3"/>
      <c r="K14" s="6" t="s">
        <v>153</v>
      </c>
    </row>
    <row r="15" spans="1:11">
      <c r="A15" s="3" t="s">
        <v>40</v>
      </c>
      <c r="B15" s="3"/>
      <c r="C15" s="3"/>
      <c r="D15" s="3"/>
      <c r="E15" s="3"/>
      <c r="F15" s="3"/>
      <c r="G15" s="3"/>
    </row>
    <row r="16" spans="1:11">
      <c r="A16" s="34" t="s">
        <v>154</v>
      </c>
      <c r="B16" s="34"/>
      <c r="C16" s="34"/>
      <c r="D16" s="34"/>
      <c r="E16" s="34"/>
      <c r="F16" s="34"/>
      <c r="G16" s="34"/>
    </row>
    <row r="17" spans="1:7">
      <c r="A17" s="46" t="s">
        <v>155</v>
      </c>
      <c r="B17" s="3"/>
      <c r="C17" s="3"/>
      <c r="D17" s="3"/>
      <c r="E17" s="3"/>
      <c r="F17" s="3"/>
      <c r="G17" s="3"/>
    </row>
    <row r="18" spans="1:7">
      <c r="A18" s="46" t="s">
        <v>156</v>
      </c>
      <c r="B18" s="3"/>
      <c r="C18" s="3"/>
      <c r="D18" s="3"/>
      <c r="E18" s="3"/>
      <c r="F18" s="3"/>
      <c r="G18" s="3"/>
    </row>
    <row r="19" spans="1:7">
      <c r="A19" s="3" t="s">
        <v>157</v>
      </c>
      <c r="B19" s="3"/>
      <c r="C19" s="3"/>
      <c r="D19" s="3"/>
      <c r="E19" s="3"/>
      <c r="F19" s="3"/>
      <c r="G19" s="3"/>
    </row>
    <row r="20" spans="1:7">
      <c r="A20" s="3" t="s">
        <v>158</v>
      </c>
      <c r="B20" s="3"/>
      <c r="C20" s="3"/>
      <c r="D20" s="3"/>
      <c r="E20" s="3"/>
      <c r="F20" s="3"/>
      <c r="G20" s="3"/>
    </row>
    <row r="21" spans="1:7" ht="15" customHeight="1">
      <c r="A21" s="3"/>
      <c r="B21" s="3"/>
      <c r="C21" s="3"/>
      <c r="D21" s="3"/>
      <c r="E21" s="3"/>
      <c r="F21" s="3"/>
      <c r="G21" s="3"/>
    </row>
    <row r="22" spans="1:7">
      <c r="A22" s="34" t="s">
        <v>159</v>
      </c>
      <c r="B22" s="34"/>
      <c r="C22" s="34"/>
      <c r="D22" s="34"/>
      <c r="E22" s="34"/>
      <c r="F22" s="34"/>
      <c r="G22" s="34"/>
    </row>
    <row r="23" spans="1:7">
      <c r="A23" s="3" t="s">
        <v>160</v>
      </c>
      <c r="B23" s="3"/>
      <c r="C23" s="3"/>
      <c r="D23" s="3"/>
      <c r="E23" s="3"/>
      <c r="F23" s="3"/>
      <c r="G23" s="3"/>
    </row>
    <row r="24" spans="1:7">
      <c r="A24" s="3" t="s">
        <v>161</v>
      </c>
      <c r="B24" s="3"/>
      <c r="C24" s="3"/>
      <c r="D24" s="3"/>
      <c r="E24" s="3"/>
      <c r="F24" s="3"/>
      <c r="G24" s="3"/>
    </row>
    <row r="25" spans="1:7" ht="15" customHeight="1">
      <c r="A25" s="34" t="s">
        <v>162</v>
      </c>
      <c r="B25" s="34"/>
      <c r="C25" s="34"/>
      <c r="D25" s="34"/>
      <c r="E25" s="34"/>
      <c r="F25" s="34"/>
      <c r="G25" s="34"/>
    </row>
    <row r="26" spans="1:7">
      <c r="A26" s="46" t="s">
        <v>163</v>
      </c>
      <c r="B26" s="3"/>
      <c r="C26" s="3"/>
      <c r="D26" s="3"/>
      <c r="E26" s="3"/>
      <c r="F26" s="3"/>
      <c r="G26" s="3"/>
    </row>
    <row r="27" spans="1:7">
      <c r="A27" s="46" t="s">
        <v>164</v>
      </c>
      <c r="B27" s="3"/>
      <c r="C27" s="3"/>
      <c r="D27" s="3"/>
      <c r="E27" s="3"/>
      <c r="F27" s="3"/>
      <c r="G27" s="3"/>
    </row>
    <row r="28" spans="1:7">
      <c r="A28" s="3" t="s">
        <v>165</v>
      </c>
      <c r="B28" s="3"/>
      <c r="C28" s="3"/>
      <c r="D28" s="3"/>
      <c r="E28" s="3"/>
      <c r="F28" s="3"/>
      <c r="G28" s="3"/>
    </row>
    <row r="29" spans="1:7" ht="15.75" customHeight="1">
      <c r="A29" s="36" t="s">
        <v>166</v>
      </c>
      <c r="B29" s="36"/>
      <c r="C29" s="36"/>
      <c r="D29" s="36"/>
      <c r="E29" s="36"/>
      <c r="F29" s="36"/>
      <c r="G29" s="36"/>
    </row>
    <row r="30" spans="1:7">
      <c r="A30" s="3" t="s">
        <v>31</v>
      </c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4" t="s">
        <v>167</v>
      </c>
      <c r="B34" s="34"/>
      <c r="C34" s="34"/>
      <c r="D34" s="34"/>
      <c r="E34" s="34"/>
      <c r="F34" s="34"/>
      <c r="G34" s="34"/>
    </row>
    <row r="35" spans="1:7">
      <c r="A35" s="46" t="s">
        <v>168</v>
      </c>
      <c r="B35" s="3"/>
      <c r="C35" s="3"/>
      <c r="D35" s="3"/>
      <c r="E35" s="3"/>
      <c r="F35" s="3"/>
      <c r="G35" s="5" t="s">
        <v>169</v>
      </c>
    </row>
    <row r="36" spans="1:7">
      <c r="A36" s="3" t="s">
        <v>170</v>
      </c>
      <c r="B36" s="3"/>
      <c r="C36" s="3"/>
      <c r="D36" s="3"/>
      <c r="E36" s="3"/>
      <c r="F36" s="3"/>
      <c r="G36" s="3"/>
    </row>
    <row r="37" spans="1:7">
      <c r="A37" s="3" t="s">
        <v>171</v>
      </c>
      <c r="B37" s="3"/>
      <c r="C37" s="3"/>
      <c r="D37" s="3"/>
      <c r="E37" s="3"/>
      <c r="F37" s="3"/>
      <c r="G37" s="3"/>
    </row>
    <row r="38" spans="1:7">
      <c r="A38" s="3" t="s">
        <v>172</v>
      </c>
      <c r="B38" s="3"/>
      <c r="C38" s="3"/>
      <c r="D38" s="3"/>
      <c r="E38" s="3"/>
      <c r="F38" s="3"/>
      <c r="G38" s="3"/>
    </row>
    <row r="39" spans="1:7">
      <c r="A39" s="3" t="s">
        <v>173</v>
      </c>
      <c r="B39" s="3"/>
      <c r="C39" s="3"/>
      <c r="D39" s="3"/>
      <c r="E39" s="3"/>
      <c r="F39" s="3"/>
      <c r="G39" s="3"/>
    </row>
    <row r="40" spans="1:7">
      <c r="A40" s="3" t="s">
        <v>174</v>
      </c>
      <c r="B40" s="3"/>
      <c r="C40" s="3"/>
      <c r="D40" s="3"/>
      <c r="E40" s="3"/>
      <c r="F40" s="3"/>
      <c r="G40" s="3"/>
    </row>
    <row r="41" spans="1:7">
      <c r="A41" s="3" t="s">
        <v>175</v>
      </c>
      <c r="B41" s="3"/>
      <c r="C41" s="3"/>
      <c r="D41" s="3"/>
      <c r="E41" s="3"/>
      <c r="F41" s="3"/>
      <c r="G41" s="3"/>
    </row>
    <row r="42" spans="1:7" ht="15" customHeight="1">
      <c r="A42" s="35" t="s">
        <v>176</v>
      </c>
      <c r="B42" s="35"/>
      <c r="C42" s="35"/>
      <c r="D42" s="35"/>
      <c r="E42" s="35"/>
      <c r="F42" s="35"/>
      <c r="G42" s="35"/>
    </row>
    <row r="43" spans="1:7">
      <c r="A43" s="3" t="s">
        <v>177</v>
      </c>
      <c r="B43" s="3" t="s">
        <v>178</v>
      </c>
      <c r="C43" s="3"/>
      <c r="D43" s="3"/>
      <c r="E43" s="3"/>
      <c r="F43" s="3"/>
      <c r="G43" s="5" t="s">
        <v>179</v>
      </c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</sheetData>
  <mergeCells count="9">
    <mergeCell ref="A1:F1"/>
    <mergeCell ref="A2:F2"/>
    <mergeCell ref="A6:G6"/>
    <mergeCell ref="A42:G42"/>
    <mergeCell ref="A34:G34"/>
    <mergeCell ref="A29:G29"/>
    <mergeCell ref="A25:G25"/>
    <mergeCell ref="A22:G22"/>
    <mergeCell ref="A16:G16"/>
  </mergeCells>
  <hyperlinks>
    <hyperlink ref="G35" r:id="rId1" xr:uid="{F498B47F-0841-4A81-9E84-00F142652AB0}"/>
    <hyperlink ref="G1" r:id="rId2" xr:uid="{EB9F8224-325B-49D0-A1D0-B82FC40274B3}"/>
    <hyperlink ref="G43" r:id="rId3" xr:uid="{78A246AA-BE76-417A-9397-B4E05D1ACE3B}"/>
    <hyperlink ref="K12" r:id="rId4" xr:uid="{5E4AF050-F852-41C3-8F3C-384EDBE650C4}"/>
    <hyperlink ref="K14" r:id="rId5" xr:uid="{5985BC59-8F90-4DA9-8759-8C221E83B974}"/>
    <hyperlink ref="K8" r:id="rId6" xr:uid="{B4C0ADF4-2F01-4435-9222-1C97447D27D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D722-45C2-44BD-AA57-56C3904FBD65}">
  <dimension ref="A1:D46"/>
  <sheetViews>
    <sheetView workbookViewId="0">
      <selection activeCell="D43" sqref="D43"/>
    </sheetView>
  </sheetViews>
  <sheetFormatPr defaultColWidth="9.140625" defaultRowHeight="14.45"/>
  <cols>
    <col min="1" max="1" width="52.140625" style="2" customWidth="1"/>
    <col min="2" max="2" width="63.7109375" style="2" customWidth="1"/>
    <col min="3" max="3" width="54.5703125" style="2" customWidth="1"/>
    <col min="4" max="4" width="53" style="2" customWidth="1"/>
    <col min="5" max="7" width="9.140625" style="2" bestFit="1" customWidth="1"/>
    <col min="8" max="16384" width="9.140625" style="2"/>
  </cols>
  <sheetData>
    <row r="1" spans="1:4" ht="15.6">
      <c r="A1" s="32" t="s">
        <v>180</v>
      </c>
      <c r="B1" s="32"/>
      <c r="C1" s="32"/>
      <c r="D1" s="32"/>
    </row>
    <row r="2" spans="1:4" ht="35.25" customHeight="1">
      <c r="A2" s="33" t="s">
        <v>181</v>
      </c>
      <c r="B2" s="33"/>
      <c r="C2" s="33"/>
      <c r="D2" s="33"/>
    </row>
    <row r="5" spans="1:4">
      <c r="A5" s="4" t="s">
        <v>136</v>
      </c>
      <c r="B5" s="4" t="s">
        <v>133</v>
      </c>
      <c r="C5" s="4" t="s">
        <v>182</v>
      </c>
      <c r="D5" s="4" t="s">
        <v>180</v>
      </c>
    </row>
    <row r="6" spans="1:4">
      <c r="A6" s="34" t="s">
        <v>143</v>
      </c>
      <c r="B6" s="34"/>
      <c r="C6" s="34"/>
      <c r="D6" s="34"/>
    </row>
    <row r="7" spans="1:4">
      <c r="A7" s="3" t="s">
        <v>18</v>
      </c>
      <c r="B7" s="3"/>
      <c r="C7" s="3"/>
      <c r="D7" s="3"/>
    </row>
    <row r="8" spans="1:4">
      <c r="A8" s="3" t="s">
        <v>21</v>
      </c>
      <c r="B8" s="3"/>
      <c r="C8" s="3"/>
      <c r="D8" s="3"/>
    </row>
    <row r="9" spans="1:4">
      <c r="A9" s="3" t="s">
        <v>25</v>
      </c>
      <c r="B9" s="3"/>
      <c r="C9" s="3"/>
      <c r="D9" s="3"/>
    </row>
    <row r="10" spans="1:4">
      <c r="A10" s="3" t="s">
        <v>28</v>
      </c>
      <c r="B10" s="3"/>
      <c r="C10" s="3"/>
      <c r="D10" s="3"/>
    </row>
    <row r="11" spans="1:4">
      <c r="A11" s="3" t="s">
        <v>31</v>
      </c>
      <c r="B11" s="3"/>
      <c r="C11" s="3"/>
      <c r="D11" s="3"/>
    </row>
    <row r="12" spans="1:4">
      <c r="A12" s="3" t="s">
        <v>34</v>
      </c>
      <c r="B12" s="3"/>
      <c r="C12" s="3"/>
      <c r="D12" s="3"/>
    </row>
    <row r="13" spans="1:4">
      <c r="A13" s="3" t="s">
        <v>150</v>
      </c>
      <c r="B13" s="3"/>
      <c r="C13" s="3"/>
      <c r="D13" s="3"/>
    </row>
    <row r="14" spans="1:4">
      <c r="A14" s="3" t="s">
        <v>152</v>
      </c>
      <c r="B14" s="3"/>
      <c r="C14" s="3"/>
      <c r="D14" s="3"/>
    </row>
    <row r="15" spans="1:4">
      <c r="A15" s="3" t="s">
        <v>40</v>
      </c>
      <c r="B15" s="3"/>
      <c r="C15" s="3"/>
      <c r="D15" s="3"/>
    </row>
    <row r="16" spans="1:4">
      <c r="A16" s="34" t="s">
        <v>154</v>
      </c>
      <c r="B16" s="34"/>
      <c r="C16" s="34"/>
      <c r="D16" s="34"/>
    </row>
    <row r="17" spans="1:4">
      <c r="A17" s="3" t="s">
        <v>155</v>
      </c>
      <c r="B17" s="3"/>
      <c r="C17" s="3"/>
      <c r="D17" s="3"/>
    </row>
    <row r="18" spans="1:4">
      <c r="A18" s="3" t="s">
        <v>156</v>
      </c>
      <c r="B18" s="3"/>
      <c r="C18" s="3"/>
      <c r="D18" s="3"/>
    </row>
    <row r="19" spans="1:4">
      <c r="A19" s="3" t="s">
        <v>157</v>
      </c>
      <c r="B19" s="3"/>
      <c r="C19" s="3"/>
      <c r="D19" s="3"/>
    </row>
    <row r="20" spans="1:4">
      <c r="A20" s="3" t="s">
        <v>158</v>
      </c>
      <c r="B20" s="3"/>
      <c r="C20" s="3"/>
      <c r="D20" s="3"/>
    </row>
    <row r="21" spans="1:4" ht="15" customHeight="1">
      <c r="A21" s="3"/>
      <c r="B21" s="3"/>
      <c r="C21" s="3"/>
      <c r="D21" s="3"/>
    </row>
    <row r="22" spans="1:4">
      <c r="A22" s="34" t="s">
        <v>159</v>
      </c>
      <c r="B22" s="34"/>
      <c r="C22" s="34"/>
      <c r="D22" s="34"/>
    </row>
    <row r="23" spans="1:4">
      <c r="A23" s="3" t="s">
        <v>160</v>
      </c>
      <c r="B23" s="3"/>
      <c r="C23" s="3"/>
      <c r="D23" s="3"/>
    </row>
    <row r="24" spans="1:4">
      <c r="A24" s="3" t="s">
        <v>161</v>
      </c>
      <c r="B24" s="3"/>
      <c r="C24" s="3"/>
      <c r="D24" s="3"/>
    </row>
    <row r="25" spans="1:4" ht="15" customHeight="1">
      <c r="A25" s="34" t="s">
        <v>162</v>
      </c>
      <c r="B25" s="34"/>
      <c r="C25" s="34"/>
      <c r="D25" s="34"/>
    </row>
    <row r="26" spans="1:4">
      <c r="A26" s="3" t="s">
        <v>163</v>
      </c>
      <c r="B26" s="3"/>
      <c r="C26" s="3"/>
      <c r="D26" s="3"/>
    </row>
    <row r="27" spans="1:4">
      <c r="A27" s="3" t="s">
        <v>164</v>
      </c>
      <c r="B27" s="3"/>
      <c r="C27" s="3"/>
      <c r="D27" s="3"/>
    </row>
    <row r="28" spans="1:4">
      <c r="A28" s="3" t="s">
        <v>165</v>
      </c>
      <c r="B28" s="3"/>
      <c r="C28" s="3"/>
      <c r="D28" s="3"/>
    </row>
    <row r="29" spans="1:4" ht="15.75" customHeight="1">
      <c r="A29" s="36" t="s">
        <v>166</v>
      </c>
      <c r="B29" s="36"/>
      <c r="C29" s="36"/>
      <c r="D29" s="36"/>
    </row>
    <row r="30" spans="1:4">
      <c r="A30" s="3" t="s">
        <v>31</v>
      </c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4" t="s">
        <v>167</v>
      </c>
      <c r="B34" s="34"/>
      <c r="C34" s="34"/>
      <c r="D34" s="34"/>
    </row>
    <row r="35" spans="1:4">
      <c r="A35" s="3" t="s">
        <v>168</v>
      </c>
      <c r="B35" s="3"/>
      <c r="C35" s="3"/>
      <c r="D35" s="3"/>
    </row>
    <row r="36" spans="1:4">
      <c r="A36" s="3" t="s">
        <v>170</v>
      </c>
      <c r="B36" s="3"/>
      <c r="C36" s="3"/>
      <c r="D36" s="3"/>
    </row>
    <row r="37" spans="1:4">
      <c r="A37" s="3" t="s">
        <v>171</v>
      </c>
      <c r="B37" s="3"/>
      <c r="C37" s="3"/>
      <c r="D37" s="3"/>
    </row>
    <row r="38" spans="1:4">
      <c r="A38" s="3" t="s">
        <v>172</v>
      </c>
      <c r="B38" s="3"/>
      <c r="C38" s="3"/>
      <c r="D38" s="3"/>
    </row>
    <row r="39" spans="1:4">
      <c r="A39" s="3" t="s">
        <v>173</v>
      </c>
      <c r="B39" s="3"/>
      <c r="C39" s="3"/>
      <c r="D39" s="3"/>
    </row>
    <row r="40" spans="1:4">
      <c r="A40" s="3" t="s">
        <v>174</v>
      </c>
      <c r="B40" s="3"/>
      <c r="C40" s="3"/>
      <c r="D40" s="3"/>
    </row>
    <row r="41" spans="1:4">
      <c r="A41" s="3" t="s">
        <v>175</v>
      </c>
      <c r="B41" s="3"/>
      <c r="C41" s="3"/>
      <c r="D41" s="3"/>
    </row>
    <row r="42" spans="1:4" ht="15" customHeight="1">
      <c r="A42" s="35" t="s">
        <v>176</v>
      </c>
      <c r="B42" s="35"/>
      <c r="C42" s="35"/>
      <c r="D42" s="35"/>
    </row>
    <row r="43" spans="1:4">
      <c r="A43" s="3" t="s">
        <v>177</v>
      </c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</sheetData>
  <mergeCells count="9">
    <mergeCell ref="A29:D29"/>
    <mergeCell ref="A34:D34"/>
    <mergeCell ref="A42:D42"/>
    <mergeCell ref="A1:D1"/>
    <mergeCell ref="A2:D2"/>
    <mergeCell ref="A6:D6"/>
    <mergeCell ref="A16:D16"/>
    <mergeCell ref="A22:D22"/>
    <mergeCell ref="A25:D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0A90-38A1-445D-9B9C-C4CD759C4FBC}">
  <dimension ref="A1:E46"/>
  <sheetViews>
    <sheetView workbookViewId="0">
      <selection activeCell="C43" sqref="C43"/>
    </sheetView>
  </sheetViews>
  <sheetFormatPr defaultColWidth="9.140625" defaultRowHeight="14.45"/>
  <cols>
    <col min="1" max="1" width="52.140625" style="2" customWidth="1"/>
    <col min="2" max="2" width="54.5703125" style="2" customWidth="1"/>
    <col min="3" max="3" width="53" style="2" customWidth="1"/>
    <col min="4" max="4" width="18.42578125" style="2" customWidth="1"/>
    <col min="5" max="5" width="27.85546875" style="2" customWidth="1"/>
    <col min="6" max="8" width="9.140625" style="2" bestFit="1" customWidth="1"/>
    <col min="9" max="16384" width="9.140625" style="2"/>
  </cols>
  <sheetData>
    <row r="1" spans="1:5" ht="15.6">
      <c r="A1" s="32" t="s">
        <v>182</v>
      </c>
      <c r="B1" s="32"/>
      <c r="C1" s="32"/>
      <c r="D1" s="32"/>
      <c r="E1" s="32"/>
    </row>
    <row r="2" spans="1:5" ht="35.25" customHeight="1">
      <c r="A2" s="33" t="s">
        <v>183</v>
      </c>
      <c r="B2" s="33"/>
      <c r="C2" s="33"/>
      <c r="D2" s="33"/>
      <c r="E2" s="33"/>
    </row>
    <row r="5" spans="1:5">
      <c r="A5" s="4" t="s">
        <v>136</v>
      </c>
      <c r="B5" s="4" t="s">
        <v>184</v>
      </c>
      <c r="C5" s="4" t="s">
        <v>185</v>
      </c>
      <c r="D5" s="4" t="s">
        <v>186</v>
      </c>
      <c r="E5" s="4" t="s">
        <v>142</v>
      </c>
    </row>
    <row r="6" spans="1:5">
      <c r="A6" s="37" t="s">
        <v>143</v>
      </c>
      <c r="B6" s="38"/>
      <c r="C6" s="38"/>
      <c r="D6" s="38"/>
      <c r="E6" s="39"/>
    </row>
    <row r="7" spans="1:5">
      <c r="A7" s="3" t="s">
        <v>18</v>
      </c>
      <c r="B7" s="3"/>
      <c r="C7" s="3"/>
      <c r="D7" s="3"/>
      <c r="E7" s="3"/>
    </row>
    <row r="8" spans="1:5">
      <c r="A8" s="3" t="s">
        <v>21</v>
      </c>
      <c r="B8" s="3"/>
      <c r="C8" s="3"/>
      <c r="D8" s="3"/>
      <c r="E8" s="3"/>
    </row>
    <row r="9" spans="1:5">
      <c r="A9" s="3" t="s">
        <v>25</v>
      </c>
      <c r="B9" s="3"/>
      <c r="C9" s="3"/>
      <c r="D9" s="3"/>
      <c r="E9" s="3"/>
    </row>
    <row r="10" spans="1:5">
      <c r="A10" s="3" t="s">
        <v>28</v>
      </c>
      <c r="B10" s="3"/>
      <c r="C10" s="3"/>
      <c r="D10" s="3"/>
      <c r="E10" s="3"/>
    </row>
    <row r="11" spans="1:5">
      <c r="A11" s="3" t="s">
        <v>31</v>
      </c>
      <c r="B11" s="3"/>
      <c r="C11" s="3"/>
      <c r="D11" s="3"/>
      <c r="E11" s="3"/>
    </row>
    <row r="12" spans="1:5">
      <c r="A12" s="3" t="s">
        <v>34</v>
      </c>
      <c r="B12" s="3"/>
      <c r="C12" s="3"/>
      <c r="D12" s="3"/>
      <c r="E12" s="3"/>
    </row>
    <row r="13" spans="1:5">
      <c r="A13" s="3" t="s">
        <v>150</v>
      </c>
      <c r="B13" s="3"/>
      <c r="C13" s="3"/>
      <c r="D13" s="3"/>
      <c r="E13" s="3"/>
    </row>
    <row r="14" spans="1:5">
      <c r="A14" s="3" t="s">
        <v>152</v>
      </c>
      <c r="B14" s="3"/>
      <c r="C14" s="3"/>
      <c r="D14" s="3"/>
      <c r="E14" s="3"/>
    </row>
    <row r="15" spans="1:5">
      <c r="A15" s="3" t="s">
        <v>40</v>
      </c>
      <c r="B15" s="3"/>
      <c r="C15" s="3"/>
      <c r="D15" s="3"/>
      <c r="E15" s="3"/>
    </row>
    <row r="16" spans="1:5">
      <c r="A16" s="37" t="s">
        <v>154</v>
      </c>
      <c r="B16" s="38"/>
      <c r="C16" s="38"/>
      <c r="D16" s="38"/>
      <c r="E16" s="39"/>
    </row>
    <row r="17" spans="1:5">
      <c r="A17" s="3" t="s">
        <v>155</v>
      </c>
      <c r="B17" s="3"/>
      <c r="C17" s="3"/>
      <c r="D17" s="3"/>
      <c r="E17" s="3"/>
    </row>
    <row r="18" spans="1:5">
      <c r="A18" s="3" t="s">
        <v>156</v>
      </c>
      <c r="B18" s="3"/>
      <c r="C18" s="3"/>
      <c r="D18" s="3"/>
      <c r="E18" s="3"/>
    </row>
    <row r="19" spans="1:5">
      <c r="A19" s="3" t="s">
        <v>157</v>
      </c>
      <c r="B19" s="3"/>
      <c r="C19" s="3"/>
      <c r="D19" s="3"/>
      <c r="E19" s="3"/>
    </row>
    <row r="20" spans="1:5">
      <c r="A20" s="3" t="s">
        <v>158</v>
      </c>
      <c r="B20" s="3"/>
      <c r="C20" s="3"/>
      <c r="D20" s="3"/>
      <c r="E20" s="3"/>
    </row>
    <row r="21" spans="1:5" ht="15" customHeight="1">
      <c r="A21" s="3"/>
      <c r="B21" s="3"/>
      <c r="C21" s="3"/>
      <c r="D21" s="3"/>
      <c r="E21" s="3"/>
    </row>
    <row r="22" spans="1:5">
      <c r="A22" s="37" t="s">
        <v>159</v>
      </c>
      <c r="B22" s="38"/>
      <c r="C22" s="38"/>
      <c r="D22" s="38"/>
      <c r="E22" s="39"/>
    </row>
    <row r="23" spans="1:5">
      <c r="A23" s="3" t="s">
        <v>160</v>
      </c>
      <c r="B23" s="3"/>
      <c r="C23" s="3"/>
      <c r="D23" s="3"/>
      <c r="E23" s="3"/>
    </row>
    <row r="24" spans="1:5">
      <c r="A24" s="3" t="s">
        <v>161</v>
      </c>
      <c r="B24" s="3"/>
      <c r="C24" s="3"/>
      <c r="D24" s="3"/>
      <c r="E24" s="3"/>
    </row>
    <row r="25" spans="1:5" ht="15" customHeight="1">
      <c r="A25" s="37" t="s">
        <v>162</v>
      </c>
      <c r="B25" s="38"/>
      <c r="C25" s="38"/>
      <c r="D25" s="38"/>
      <c r="E25" s="39"/>
    </row>
    <row r="26" spans="1:5">
      <c r="A26" s="3" t="s">
        <v>163</v>
      </c>
      <c r="B26" s="3"/>
      <c r="C26" s="3"/>
      <c r="D26" s="3"/>
      <c r="E26" s="3"/>
    </row>
    <row r="27" spans="1:5">
      <c r="A27" s="3" t="s">
        <v>164</v>
      </c>
      <c r="B27" s="3"/>
      <c r="C27" s="3"/>
      <c r="D27" s="3"/>
      <c r="E27" s="3"/>
    </row>
    <row r="28" spans="1:5">
      <c r="A28" s="3" t="s">
        <v>165</v>
      </c>
      <c r="B28" s="3"/>
      <c r="C28" s="3"/>
      <c r="D28" s="3"/>
      <c r="E28" s="3"/>
    </row>
    <row r="29" spans="1:5" ht="15.75" customHeight="1">
      <c r="A29" s="43" t="s">
        <v>166</v>
      </c>
      <c r="B29" s="44"/>
      <c r="C29" s="44"/>
      <c r="D29" s="44"/>
      <c r="E29" s="45"/>
    </row>
    <row r="30" spans="1:5">
      <c r="A30" s="3" t="s">
        <v>31</v>
      </c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7" t="s">
        <v>167</v>
      </c>
      <c r="B34" s="38"/>
      <c r="C34" s="38"/>
      <c r="D34" s="38"/>
      <c r="E34" s="39"/>
    </row>
    <row r="35" spans="1:5">
      <c r="A35" s="3" t="s">
        <v>168</v>
      </c>
      <c r="B35" s="3"/>
      <c r="C35" s="3"/>
      <c r="D35" s="3"/>
      <c r="E35" s="3"/>
    </row>
    <row r="36" spans="1:5">
      <c r="A36" s="3" t="s">
        <v>170</v>
      </c>
      <c r="B36" s="3"/>
      <c r="C36" s="3"/>
      <c r="D36" s="3"/>
      <c r="E36" s="3"/>
    </row>
    <row r="37" spans="1:5">
      <c r="A37" s="3" t="s">
        <v>171</v>
      </c>
      <c r="B37" s="3"/>
      <c r="C37" s="3"/>
      <c r="D37" s="3"/>
      <c r="E37" s="3"/>
    </row>
    <row r="38" spans="1:5">
      <c r="A38" s="3" t="s">
        <v>172</v>
      </c>
      <c r="B38" s="3"/>
      <c r="C38" s="3"/>
      <c r="D38" s="3"/>
      <c r="E38" s="3"/>
    </row>
    <row r="39" spans="1:5">
      <c r="A39" s="3" t="s">
        <v>173</v>
      </c>
      <c r="B39" s="3"/>
      <c r="C39" s="3"/>
      <c r="D39" s="3"/>
      <c r="E39" s="3"/>
    </row>
    <row r="40" spans="1:5">
      <c r="A40" s="3" t="s">
        <v>174</v>
      </c>
      <c r="B40" s="3"/>
      <c r="C40" s="3"/>
      <c r="D40" s="3"/>
      <c r="E40" s="3"/>
    </row>
    <row r="41" spans="1:5">
      <c r="A41" s="3" t="s">
        <v>175</v>
      </c>
      <c r="B41" s="3"/>
      <c r="C41" s="3"/>
      <c r="D41" s="3"/>
      <c r="E41" s="3"/>
    </row>
    <row r="42" spans="1:5" ht="15" customHeight="1">
      <c r="A42" s="40" t="s">
        <v>176</v>
      </c>
      <c r="B42" s="41"/>
      <c r="C42" s="41"/>
      <c r="D42" s="41"/>
      <c r="E42" s="42"/>
    </row>
    <row r="43" spans="1:5">
      <c r="A43" s="3" t="s">
        <v>177</v>
      </c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</sheetData>
  <mergeCells count="9">
    <mergeCell ref="A34:E34"/>
    <mergeCell ref="A42:E42"/>
    <mergeCell ref="A1:E1"/>
    <mergeCell ref="A2:E2"/>
    <mergeCell ref="A6:E6"/>
    <mergeCell ref="A16:E16"/>
    <mergeCell ref="A22:E22"/>
    <mergeCell ref="A25:E25"/>
    <mergeCell ref="A29:E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853B-189D-450F-B9B6-2E01D1182A2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84E0-54E0-4E19-B97F-D8766ED7995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e029e0-afc5-439a-a046-f6c046a5374b">
      <Terms xmlns="http://schemas.microsoft.com/office/infopath/2007/PartnerControls"/>
    </lcf76f155ced4ddcb4097134ff3c332f>
    <TaxCatchAll xmlns="2d5a9d48-3f59-4696-9c3b-1ca31e229e6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872658EF092644ADD2A4D25A43E11A" ma:contentTypeVersion="10" ma:contentTypeDescription="Create a new document." ma:contentTypeScope="" ma:versionID="3f81447e93d447e658a6a1864dba3d9a">
  <xsd:schema xmlns:xsd="http://www.w3.org/2001/XMLSchema" xmlns:xs="http://www.w3.org/2001/XMLSchema" xmlns:p="http://schemas.microsoft.com/office/2006/metadata/properties" xmlns:ns2="2ce029e0-afc5-439a-a046-f6c046a5374b" xmlns:ns3="2d5a9d48-3f59-4696-9c3b-1ca31e229e68" targetNamespace="http://schemas.microsoft.com/office/2006/metadata/properties" ma:root="true" ma:fieldsID="d1f9d9500de40522b5eb58789219f41e" ns2:_="" ns3:_="">
    <xsd:import namespace="2ce029e0-afc5-439a-a046-f6c046a5374b"/>
    <xsd:import namespace="2d5a9d48-3f59-4696-9c3b-1ca31e229e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029e0-afc5-439a-a046-f6c046a53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a9d48-3f59-4696-9c3b-1ca31e229e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4f3402-c1fe-4bdd-ae5d-f27668387f07}" ma:internalName="TaxCatchAll" ma:showField="CatchAllData" ma:web="2d5a9d48-3f59-4696-9c3b-1ca31e229e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BD627E-22D6-4EA2-ABA6-A8166FDBD02A}"/>
</file>

<file path=customXml/itemProps2.xml><?xml version="1.0" encoding="utf-8"?>
<ds:datastoreItem xmlns:ds="http://schemas.openxmlformats.org/officeDocument/2006/customXml" ds:itemID="{912FFB90-614F-47D9-A67E-818DC9487021}"/>
</file>

<file path=customXml/itemProps3.xml><?xml version="1.0" encoding="utf-8"?>
<ds:datastoreItem xmlns:ds="http://schemas.openxmlformats.org/officeDocument/2006/customXml" ds:itemID="{63231FB1-CF1E-4D33-963C-CBD47B870F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Plamena Dimitrova</cp:lastModifiedBy>
  <cp:revision/>
  <dcterms:created xsi:type="dcterms:W3CDTF">2026-05-26T11:53:26Z</dcterms:created>
  <dcterms:modified xsi:type="dcterms:W3CDTF">2026-06-12T09:14:03Z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0x01010044872658EF092644ADD2A4D25A43E11A</vt:lpwstr>
  </property>
  <property fmtid="{D5CDD505-2E9C-101B-9397-08002B2CF9AE}" pid="3" name="MediaServiceImageTags">
    <vt:lpwstr/>
  </property>
</Properties>
</file>